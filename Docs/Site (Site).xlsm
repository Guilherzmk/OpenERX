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 codeName="{37A63EE7-654F-3FA9-A528-636911D70600}"/>
  <workbookPr showInkAnnotation="0"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D:\Projects\OpenERX\Docs\"/>
    </mc:Choice>
  </mc:AlternateContent>
  <xr:revisionPtr revIDLastSave="0" documentId="13_ncr:1_{0F9A88B1-BAA2-497D-AED6-42FABCFC61AF}" xr6:coauthVersionLast="47" xr6:coauthVersionMax="47" xr10:uidLastSave="{00000000-0000-0000-0000-000000000000}"/>
  <bookViews>
    <workbookView xWindow="-120" yWindow="-120" windowWidth="29040" windowHeight="15720" tabRatio="500" xr2:uid="{00000000-000D-0000-FFFF-FFFF00000000}"/>
  </bookViews>
  <sheets>
    <sheet name="COLLECTION" sheetId="1" r:id="rId1"/>
  </sheets>
  <functionGroups builtInGroupCount="19"/>
  <definedNames>
    <definedName name="_xlnm._FilterDatabase" localSheetId="0" hidden="1">COLLECTION!$A$4:$V$9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" l="1"/>
  <c r="J2" i="1" l="1"/>
  <c r="J8" i="1"/>
  <c r="H8" i="1"/>
  <c r="I8" i="1" s="1"/>
  <c r="J9" i="1"/>
  <c r="H9" i="1"/>
  <c r="I9" i="1" s="1"/>
  <c r="E9" i="1"/>
  <c r="E8" i="1"/>
  <c r="J6" i="1" l="1"/>
  <c r="J7" i="1"/>
  <c r="J5" i="1"/>
  <c r="H6" i="1"/>
  <c r="I6" i="1" s="1"/>
  <c r="H7" i="1"/>
  <c r="I7" i="1" s="1"/>
  <c r="E2" i="1" l="1"/>
  <c r="H5" i="1" l="1"/>
  <c r="I5" i="1" s="1"/>
  <c r="E5" i="1"/>
  <c r="E6" i="1"/>
  <c r="B2" i="1"/>
  <c r="E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Uilan</author>
  </authors>
  <commentList>
    <comment ref="H4" authorId="0" shapeId="0" xr:uid="{8BAD5A1A-095A-4124-9BC5-9091A0F5065D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  <comment ref="I4" authorId="0" shapeId="0" xr:uid="{423A83C2-33CA-4040-BE6A-CD87E760D617}">
      <text>
        <r>
          <rPr>
            <b/>
            <sz val="9"/>
            <color indexed="81"/>
            <rFont val="Segoe UI"/>
            <family val="2"/>
          </rPr>
          <t>Uilan:</t>
        </r>
        <r>
          <rPr>
            <sz val="9"/>
            <color indexed="81"/>
            <rFont val="Segoe UI"/>
            <family val="2"/>
          </rPr>
          <t xml:space="preserve">
short
int
long
currency
percent
date
datetime
select
domain-select
select-multiple
domain-select-multiple
text
string
guid
bool</t>
        </r>
      </text>
    </comment>
  </commentList>
</comments>
</file>

<file path=xl/sharedStrings.xml><?xml version="1.0" encoding="utf-8"?>
<sst xmlns="http://schemas.openxmlformats.org/spreadsheetml/2006/main" count="43" uniqueCount="35">
  <si>
    <t>DESCRIPTION</t>
  </si>
  <si>
    <t>ENTITY</t>
  </si>
  <si>
    <t>ENTITY FIELD</t>
  </si>
  <si>
    <t>TYPE</t>
  </si>
  <si>
    <t>TOSTRING FIELD</t>
  </si>
  <si>
    <t>ALLOW NULL</t>
  </si>
  <si>
    <t>SIZE</t>
  </si>
  <si>
    <t>false</t>
  </si>
  <si>
    <t>PRIMARY KEY</t>
  </si>
  <si>
    <t>int</t>
  </si>
  <si>
    <t>DATA FIELD</t>
  </si>
  <si>
    <t>true</t>
  </si>
  <si>
    <t>string</t>
  </si>
  <si>
    <t>Guid</t>
  </si>
  <si>
    <t>Note</t>
  </si>
  <si>
    <t>Observação</t>
  </si>
  <si>
    <t>DOMAINS</t>
  </si>
  <si>
    <t>LABEL</t>
  </si>
  <si>
    <t>HTML CREATE</t>
  </si>
  <si>
    <t>HTML UPDATE</t>
  </si>
  <si>
    <t>REPOSITORY</t>
  </si>
  <si>
    <t>SHORT DESCRIPTION</t>
  </si>
  <si>
    <t>PARENT</t>
  </si>
  <si>
    <t>PARENT DESCRIPTION</t>
  </si>
  <si>
    <t>FEATURE CODE</t>
  </si>
  <si>
    <t>ENTITY CODE</t>
  </si>
  <si>
    <t>TypeCode</t>
  </si>
  <si>
    <t>TypeName</t>
  </si>
  <si>
    <t>Id</t>
  </si>
  <si>
    <t>VERSION</t>
  </si>
  <si>
    <t>Tipo de Endereço</t>
  </si>
  <si>
    <t>Address</t>
  </si>
  <si>
    <t>E-mail</t>
  </si>
  <si>
    <t>Site3</t>
  </si>
  <si>
    <t>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</si>
</sst>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8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9">
    <xf numFmtId="0" fontId="0" fillId="0" borderId="0" xfId="0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4" borderId="0" xfId="0" applyFont="1" applyFill="1"/>
    <xf numFmtId="0" fontId="3" fillId="4" borderId="0" xfId="0" applyFont="1" applyFill="1" applyAlignment="1">
      <alignment horizontal="center"/>
    </xf>
    <xf numFmtId="0" fontId="3" fillId="2" borderId="0" xfId="0" applyFont="1" applyFill="1" applyAlignment="1">
      <alignment wrapText="1"/>
    </xf>
    <xf numFmtId="14" fontId="3" fillId="3" borderId="0" xfId="0" applyNumberFormat="1" applyFont="1" applyFill="1"/>
  </cellXfs>
  <cellStyles count="87">
    <cellStyle name="Hiperlink" xfId="1" builtinId="8" hidden="1"/>
    <cellStyle name="Hiperlink" xfId="3" builtinId="8" hidden="1"/>
    <cellStyle name="Hiperlink" xfId="5" builtinId="8" hidden="1"/>
    <cellStyle name="Hiperlink" xfId="7" builtinId="8" hidden="1"/>
    <cellStyle name="Hiperlink" xfId="9" builtinId="8" hidden="1"/>
    <cellStyle name="Hiperlink" xfId="11" builtinId="8" hidden="1"/>
    <cellStyle name="Hiperlink" xfId="13" builtinId="8" hidden="1"/>
    <cellStyle name="Hiperlink" xfId="15" builtinId="8" hidden="1"/>
    <cellStyle name="Hiperlink" xfId="17" builtinId="8" hidden="1"/>
    <cellStyle name="Hiperlink" xfId="19" builtinId="8" hidden="1"/>
    <cellStyle name="Hiperlink" xfId="21" builtinId="8" hidden="1"/>
    <cellStyle name="Hiperlink" xfId="23" builtinId="8" hidden="1"/>
    <cellStyle name="Hiperlink" xfId="25" builtinId="8" hidden="1"/>
    <cellStyle name="Hiperlink" xfId="27" builtinId="8" hidden="1"/>
    <cellStyle name="Hiperlink" xfId="29" builtinId="8" hidden="1"/>
    <cellStyle name="Hiperlink" xfId="31" builtinId="8" hidden="1"/>
    <cellStyle name="Hiperlink" xfId="33" builtinId="8" hidden="1"/>
    <cellStyle name="Hiperlink" xfId="35" builtinId="8" hidden="1"/>
    <cellStyle name="Hiperlink" xfId="37" builtinId="8" hidden="1"/>
    <cellStyle name="Hiperlink" xfId="39" builtinId="8" hidden="1"/>
    <cellStyle name="Hiperlink" xfId="41" builtinId="8" hidden="1"/>
    <cellStyle name="Hiperlink" xfId="43" builtinId="8" hidden="1"/>
    <cellStyle name="Hiperlink" xfId="45" builtinId="8" hidden="1"/>
    <cellStyle name="Hiperlink" xfId="47" builtinId="8" hidden="1"/>
    <cellStyle name="Hiperlink" xfId="49" builtinId="8" hidden="1"/>
    <cellStyle name="Hiperlink" xfId="51" builtinId="8" hidden="1"/>
    <cellStyle name="Hiperlink" xfId="53" builtinId="8" hidden="1"/>
    <cellStyle name="Hiperlink" xfId="55" builtinId="8" hidden="1"/>
    <cellStyle name="Hiperlink" xfId="57" builtinId="8" hidden="1"/>
    <cellStyle name="Hiperlink" xfId="59" builtinId="8" hidden="1"/>
    <cellStyle name="Hiperlink" xfId="61" builtinId="8" hidden="1"/>
    <cellStyle name="Hiperlink" xfId="63" builtinId="8" hidden="1"/>
    <cellStyle name="Hiperlink" xfId="65" builtinId="8" hidden="1"/>
    <cellStyle name="Hiperlink" xfId="67" builtinId="8" hidden="1"/>
    <cellStyle name="Hiperlink" xfId="69" builtinId="8" hidden="1"/>
    <cellStyle name="Hiperlink" xfId="71" builtinId="8" hidden="1"/>
    <cellStyle name="Hiperlink" xfId="73" builtinId="8" hidden="1"/>
    <cellStyle name="Hiperlink" xfId="75" builtinId="8" hidden="1"/>
    <cellStyle name="Hiperlink" xfId="77" builtinId="8" hidden="1"/>
    <cellStyle name="Hiperlink" xfId="79" builtinId="8" hidden="1"/>
    <cellStyle name="Hiperlink" xfId="81" builtinId="8" hidden="1"/>
    <cellStyle name="Hiperlink" xfId="83" builtinId="8" hidden="1"/>
    <cellStyle name="Hiperlink" xfId="85" builtinId="8" hidden="1"/>
    <cellStyle name="Hiperlink Visitado" xfId="2" builtinId="9" hidden="1"/>
    <cellStyle name="Hiperlink Visitado" xfId="4" builtinId="9" hidden="1"/>
    <cellStyle name="Hiperlink Visitado" xfId="6" builtinId="9" hidden="1"/>
    <cellStyle name="Hiperlink Visitado" xfId="8" builtinId="9" hidden="1"/>
    <cellStyle name="Hiperlink Visitado" xfId="10" builtinId="9" hidden="1"/>
    <cellStyle name="Hiperlink Visitado" xfId="12" builtinId="9" hidden="1"/>
    <cellStyle name="Hiperlink Visitado" xfId="14" builtinId="9" hidden="1"/>
    <cellStyle name="Hiperlink Visitado" xfId="16" builtinId="9" hidden="1"/>
    <cellStyle name="Hiperlink Visitado" xfId="18" builtinId="9" hidden="1"/>
    <cellStyle name="Hiperlink Visitado" xfId="20" builtinId="9" hidden="1"/>
    <cellStyle name="Hiperlink Visitado" xfId="22" builtinId="9" hidden="1"/>
    <cellStyle name="Hiperlink Visitado" xfId="24" builtinId="9" hidden="1"/>
    <cellStyle name="Hiperlink Visitado" xfId="26" builtinId="9" hidden="1"/>
    <cellStyle name="Hiperlink Visitado" xfId="28" builtinId="9" hidden="1"/>
    <cellStyle name="Hiperlink Visitado" xfId="30" builtinId="9" hidden="1"/>
    <cellStyle name="Hiperlink Visitado" xfId="32" builtinId="9" hidden="1"/>
    <cellStyle name="Hiperlink Visitado" xfId="34" builtinId="9" hidden="1"/>
    <cellStyle name="Hiperlink Visitado" xfId="36" builtinId="9" hidden="1"/>
    <cellStyle name="Hiperlink Visitado" xfId="38" builtinId="9" hidden="1"/>
    <cellStyle name="Hiperlink Visitado" xfId="40" builtinId="9" hidden="1"/>
    <cellStyle name="Hiperlink Visitado" xfId="42" builtinId="9" hidden="1"/>
    <cellStyle name="Hiperlink Visitado" xfId="44" builtinId="9" hidden="1"/>
    <cellStyle name="Hiperlink Visitado" xfId="46" builtinId="9" hidden="1"/>
    <cellStyle name="Hiperlink Visitado" xfId="48" builtinId="9" hidden="1"/>
    <cellStyle name="Hiperlink Visitado" xfId="50" builtinId="9" hidden="1"/>
    <cellStyle name="Hiperlink Visitado" xfId="52" builtinId="9" hidden="1"/>
    <cellStyle name="Hiperlink Visitado" xfId="54" builtinId="9" hidden="1"/>
    <cellStyle name="Hiperlink Visitado" xfId="56" builtinId="9" hidden="1"/>
    <cellStyle name="Hiperlink Visitado" xfId="58" builtinId="9" hidden="1"/>
    <cellStyle name="Hiperlink Visitado" xfId="60" builtinId="9" hidden="1"/>
    <cellStyle name="Hiperlink Visitado" xfId="62" builtinId="9" hidden="1"/>
    <cellStyle name="Hiperlink Visitado" xfId="64" builtinId="9" hidden="1"/>
    <cellStyle name="Hiperlink Visitado" xfId="66" builtinId="9" hidden="1"/>
    <cellStyle name="Hiperlink Visitado" xfId="68" builtinId="9" hidden="1"/>
    <cellStyle name="Hiperlink Visitado" xfId="70" builtinId="9" hidden="1"/>
    <cellStyle name="Hiperlink Visitado" xfId="72" builtinId="9" hidden="1"/>
    <cellStyle name="Hiperlink Visitado" xfId="74" builtinId="9" hidden="1"/>
    <cellStyle name="Hiperlink Visitado" xfId="76" builtinId="9" hidden="1"/>
    <cellStyle name="Hiperlink Visitado" xfId="78" builtinId="9" hidden="1"/>
    <cellStyle name="Hiperlink Visitado" xfId="80" builtinId="9" hidden="1"/>
    <cellStyle name="Hiperlink Visitado" xfId="82" builtinId="9" hidden="1"/>
    <cellStyle name="Hiperlink Visitado" xfId="84" builtinId="9" hidden="1"/>
    <cellStyle name="Hiperlink Visitado" xfId="86" builtinId="9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9"/>
  <sheetViews>
    <sheetView tabSelected="1" zoomScaleNormal="100" zoomScalePageLayoutView="115" workbookViewId="0">
      <selection activeCell="K2" sqref="K2"/>
    </sheetView>
  </sheetViews>
  <sheetFormatPr defaultColWidth="118" defaultRowHeight="15.75" x14ac:dyDescent="0.25"/>
  <cols>
    <col min="1" max="1" width="17.25" style="5" bestFit="1" customWidth="1"/>
    <col min="2" max="2" width="14.625" style="5" bestFit="1" customWidth="1"/>
    <col min="3" max="3" width="17.375" style="5" bestFit="1" customWidth="1"/>
    <col min="4" max="4" width="14.375" style="6" bestFit="1" customWidth="1"/>
    <col min="5" max="5" width="18.75" style="5" bestFit="1" customWidth="1"/>
    <col min="6" max="6" width="56.75" style="5" bestFit="1" customWidth="1"/>
    <col min="7" max="7" width="16" style="5" bestFit="1" customWidth="1"/>
    <col min="8" max="8" width="19.125" style="5" bestFit="1" customWidth="1"/>
    <col min="9" max="9" width="14.625" style="5" bestFit="1" customWidth="1"/>
    <col min="10" max="10" width="28.5" style="5" bestFit="1" customWidth="1"/>
    <col min="11" max="11" width="10.375" style="5" bestFit="1" customWidth="1"/>
    <col min="12" max="16384" width="118" style="5"/>
  </cols>
  <sheetData>
    <row r="1" spans="1:11" s="1" customFormat="1" x14ac:dyDescent="0.25">
      <c r="A1" s="1" t="s">
        <v>1</v>
      </c>
      <c r="B1" s="2" t="s">
        <v>20</v>
      </c>
      <c r="C1" s="1" t="s">
        <v>0</v>
      </c>
      <c r="D1" s="2" t="s">
        <v>4</v>
      </c>
      <c r="E1" s="1" t="s">
        <v>8</v>
      </c>
      <c r="F1" s="1" t="s">
        <v>21</v>
      </c>
      <c r="G1" s="7" t="s">
        <v>22</v>
      </c>
      <c r="H1" s="7" t="s">
        <v>23</v>
      </c>
      <c r="I1" s="7" t="s">
        <v>24</v>
      </c>
      <c r="J1" s="7" t="s">
        <v>25</v>
      </c>
      <c r="K1" s="1" t="s">
        <v>29</v>
      </c>
    </row>
    <row r="2" spans="1:11" s="3" customFormat="1" x14ac:dyDescent="0.25">
      <c r="A2" s="3" t="s">
        <v>33</v>
      </c>
      <c r="B2" s="3" t="str">
        <f>SplitProp(A2)</f>
        <v>site3</v>
      </c>
      <c r="C2" s="3" t="s">
        <v>34</v>
      </c>
      <c r="D2" s="4" t="str">
        <f>A8</f>
        <v>Address</v>
      </c>
      <c r="E2" s="3" t="str">
        <f>A5</f>
        <v>Id</v>
      </c>
      <c r="J2" s="3" t="str">
        <f>A6</f>
        <v>TypeCode</v>
      </c>
      <c r="K2" s="8"/>
    </row>
    <row r="4" spans="1:11" s="1" customFormat="1" x14ac:dyDescent="0.25">
      <c r="A4" s="1" t="s">
        <v>2</v>
      </c>
      <c r="B4" s="2" t="s">
        <v>3</v>
      </c>
      <c r="C4" s="1" t="s">
        <v>5</v>
      </c>
      <c r="D4" s="2" t="s">
        <v>6</v>
      </c>
      <c r="E4" s="1" t="s">
        <v>10</v>
      </c>
      <c r="F4" s="1" t="s">
        <v>0</v>
      </c>
      <c r="G4" s="1" t="s">
        <v>16</v>
      </c>
      <c r="H4" s="1" t="s">
        <v>18</v>
      </c>
      <c r="I4" s="1" t="s">
        <v>19</v>
      </c>
      <c r="J4" s="1" t="s">
        <v>17</v>
      </c>
    </row>
    <row r="5" spans="1:11" x14ac:dyDescent="0.25">
      <c r="A5" s="5" t="s">
        <v>28</v>
      </c>
      <c r="B5" s="5" t="s">
        <v>13</v>
      </c>
      <c r="C5" s="5" t="s">
        <v>7</v>
      </c>
      <c r="D5" s="6">
        <v>50</v>
      </c>
      <c r="E5" s="5" t="str">
        <f>SplitProp(A5)</f>
        <v>id</v>
      </c>
      <c r="F5" s="5" t="s">
        <v>28</v>
      </c>
      <c r="H5" s="5" t="str">
        <f>B5</f>
        <v>Guid</v>
      </c>
      <c r="I5" s="5" t="str">
        <f>H5</f>
        <v>Guid</v>
      </c>
      <c r="J5" s="5" t="str">
        <f>F5</f>
        <v>Id</v>
      </c>
    </row>
    <row r="6" spans="1:11" s="3" customFormat="1" x14ac:dyDescent="0.25">
      <c r="A6" s="3" t="s">
        <v>26</v>
      </c>
      <c r="B6" s="3" t="s">
        <v>9</v>
      </c>
      <c r="C6" s="3" t="s">
        <v>11</v>
      </c>
      <c r="D6" s="4">
        <v>10</v>
      </c>
      <c r="E6" s="3" t="str">
        <f t="shared" ref="E6" si="0">SplitProp(A6)</f>
        <v>type_code</v>
      </c>
      <c r="F6" s="3" t="s">
        <v>30</v>
      </c>
      <c r="H6" s="3" t="str">
        <f t="shared" ref="H6:H9" si="1">B6</f>
        <v>int</v>
      </c>
      <c r="I6" s="3" t="str">
        <f t="shared" ref="I6:I9" si="2">H6</f>
        <v>int</v>
      </c>
      <c r="J6" s="3" t="str">
        <f t="shared" ref="J6:J9" si="3">F6</f>
        <v>Tipo de Endereço</v>
      </c>
    </row>
    <row r="7" spans="1:11" x14ac:dyDescent="0.25">
      <c r="A7" s="5" t="s">
        <v>27</v>
      </c>
      <c r="B7" s="5" t="s">
        <v>12</v>
      </c>
      <c r="C7" s="5" t="s">
        <v>11</v>
      </c>
      <c r="D7" s="6">
        <v>50</v>
      </c>
      <c r="E7" s="5" t="str">
        <f>SplitProp(A7)</f>
        <v>type_name</v>
      </c>
      <c r="F7" s="5" t="s">
        <v>30</v>
      </c>
      <c r="H7" s="5" t="str">
        <f t="shared" si="1"/>
        <v>string</v>
      </c>
      <c r="I7" s="5" t="str">
        <f t="shared" si="2"/>
        <v>string</v>
      </c>
      <c r="J7" s="5" t="str">
        <f t="shared" si="3"/>
        <v>Tipo de Endereço</v>
      </c>
    </row>
    <row r="8" spans="1:11" s="3" customFormat="1" x14ac:dyDescent="0.25">
      <c r="A8" s="3" t="s">
        <v>31</v>
      </c>
      <c r="B8" s="3" t="s">
        <v>12</v>
      </c>
      <c r="C8" s="3" t="s">
        <v>11</v>
      </c>
      <c r="D8" s="4">
        <v>255</v>
      </c>
      <c r="E8" s="3" t="str">
        <f t="shared" ref="E8" si="4">SplitProp(A8)</f>
        <v>address</v>
      </c>
      <c r="F8" s="3" t="s">
        <v>32</v>
      </c>
      <c r="H8" s="3" t="str">
        <f t="shared" ref="H8" si="5">B8</f>
        <v>string</v>
      </c>
      <c r="I8" s="3" t="str">
        <f t="shared" ref="I8" si="6">H8</f>
        <v>string</v>
      </c>
      <c r="J8" s="3" t="str">
        <f t="shared" ref="J8" si="7">F8</f>
        <v>E-mail</v>
      </c>
    </row>
    <row r="9" spans="1:11" x14ac:dyDescent="0.25">
      <c r="A9" s="5" t="s">
        <v>14</v>
      </c>
      <c r="B9" s="5" t="s">
        <v>12</v>
      </c>
      <c r="C9" s="5" t="s">
        <v>11</v>
      </c>
      <c r="D9" s="6">
        <v>8000</v>
      </c>
      <c r="E9" s="5" t="str">
        <f t="shared" ref="E9" si="8">SplitProp(A9)</f>
        <v>note</v>
      </c>
      <c r="F9" s="5" t="s">
        <v>15</v>
      </c>
      <c r="H9" s="5" t="str">
        <f t="shared" si="1"/>
        <v>string</v>
      </c>
      <c r="I9" s="5" t="str">
        <f t="shared" si="2"/>
        <v>string</v>
      </c>
      <c r="J9" s="5" t="str">
        <f t="shared" si="3"/>
        <v>Observação</v>
      </c>
    </row>
  </sheetData>
  <autoFilter ref="A4:V9" xr:uid="{00000000-0001-0000-0000-000000000000}"/>
  <pageMargins left="0.75" right="0.75" top="1" bottom="1" header="0.5" footer="0.5"/>
  <pageSetup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COLLECTION</vt:lpstr>
    </vt:vector>
  </TitlesOfParts>
  <Company>Eficiti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Uilan Coqueiro</dc:creator>
  <cp:lastModifiedBy>Uilan</cp:lastModifiedBy>
  <dcterms:created xsi:type="dcterms:W3CDTF">2015-11-13T18:23:01Z</dcterms:created>
  <dcterms:modified xsi:type="dcterms:W3CDTF">2023-05-17T20:26:53Z</dcterms:modified>
</cp:coreProperties>
</file>