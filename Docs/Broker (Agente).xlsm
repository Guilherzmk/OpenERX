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7D208307-2A3B-488A-A263-5B09E95A49FE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9" i="1"/>
  <c r="E12" i="1"/>
  <c r="E18" i="1"/>
  <c r="E27" i="1"/>
  <c r="E32" i="1"/>
  <c r="E8" i="1"/>
  <c r="E22" i="1"/>
  <c r="E30" i="1"/>
  <c r="E25" i="1"/>
  <c r="E28" i="1"/>
  <c r="E21" i="1"/>
  <c r="E26" i="1"/>
  <c r="E31" i="1"/>
  <c r="E20" i="1"/>
  <c r="E24" i="1"/>
  <c r="E23" i="1"/>
  <c r="E29" i="1"/>
  <c r="D2" i="1" l="1"/>
  <c r="J2" i="1"/>
  <c r="E19" i="1"/>
  <c r="E7" i="1"/>
  <c r="E5" i="1"/>
  <c r="E6" i="1"/>
  <c r="E11" i="1"/>
  <c r="B2" i="1"/>
</calcChain>
</file>

<file path=xl/sharedStrings.xml><?xml version="1.0" encoding="utf-8"?>
<sst xmlns="http://schemas.openxmlformats.org/spreadsheetml/2006/main" count="138" uniqueCount="90">
  <si>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</si>
  <si>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</si>
  <si>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</si>
  <si>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</si>
  <si>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</si>
  <si>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</si>
  <si>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</si>
  <si>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</si>
  <si>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</si>
  <si>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</si>
  <si>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</si>
  <si>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</si>
  <si>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</si>
  <si>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</si>
  <si>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</si>
  <si>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</si>
  <si>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</si>
  <si>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</si>
  <si>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</si>
  <si>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</si>
  <si>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</si>
  <si>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</si>
  <si>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</si>
  <si>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</si>
  <si>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</si>
  <si>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</si>
  <si>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</si>
  <si>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</si>
  <si>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</si>
  <si>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</si>
  <si>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</si>
  <si>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</si>
  <si>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</si>
  <si>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</si>
  <si>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</si>
  <si>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</si>
  <si>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</si>
  <si>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</si>
  <si>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</si>
  <si>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</si>
  <si>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</si>
  <si>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</si>
  <si>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</si>
  <si>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</si>
  <si>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</si>
  <si>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</si>
  <si>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</si>
  <si>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</si>
  <si>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</si>
  <si>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</si>
  <si>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</si>
  <si>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</si>
  <si>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</si>
  <si>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</si>
  <si>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</si>
  <si>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</si>
  <si>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</si>
  <si>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</si>
  <si>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</si>
  <si>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</si>
  <si>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</si>
  <si>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Nome Fantasia</t>
  </si>
  <si>
    <t>Nome</t>
  </si>
  <si>
    <t>Identity</t>
  </si>
  <si>
    <t>identity</t>
  </si>
  <si>
    <t>CNPJ/CPF</t>
  </si>
  <si>
    <t>PersonType</t>
  </si>
  <si>
    <t>Tipo de Pessoa</t>
  </si>
  <si>
    <t>Addresses</t>
  </si>
  <si>
    <t>List&lt;Address&gt;</t>
  </si>
  <si>
    <t>adresses</t>
  </si>
  <si>
    <t>Endereço</t>
  </si>
  <si>
    <t>Emails</t>
  </si>
  <si>
    <t>List&lt;Email&gt;</t>
  </si>
  <si>
    <t>emails</t>
  </si>
  <si>
    <t>Email</t>
  </si>
  <si>
    <t>Phones</t>
  </si>
  <si>
    <t>List&lt;Phone&gt;</t>
  </si>
  <si>
    <t>phones</t>
  </si>
  <si>
    <t>Telefone</t>
  </si>
  <si>
    <t>StatusCode</t>
  </si>
  <si>
    <t>status_code</t>
  </si>
  <si>
    <t>Código do Status</t>
  </si>
  <si>
    <t>StatusName</t>
  </si>
  <si>
    <t>status_name</t>
  </si>
  <si>
    <t>StatusDate</t>
  </si>
  <si>
    <t>Data do Status</t>
  </si>
  <si>
    <t>Agente</t>
  </si>
  <si>
    <t>Broker</t>
  </si>
  <si>
    <t>Nickname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</si>
</sst>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2"/>
  <sheetViews>
    <sheetView tabSelected="1" zoomScaleNormal="100" zoomScalePageLayoutView="115" workbookViewId="0">
      <selection activeCell="A9" sqref="A9"/>
    </sheetView>
  </sheetViews>
  <sheetFormatPr defaultColWidth="118" defaultRowHeight="15.75" x14ac:dyDescent="0.25"/>
  <cols>
    <col min="1" max="1" width="17.25" style="5" bestFit="1" customWidth="1"/>
    <col min="2" max="2" width="12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6.12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25">
      <c r="A2" s="3" t="s">
        <v>88</v>
      </c>
      <c r="B2" s="3" t="str">
        <f>SplitProp(A2)</f>
        <v>broker</v>
      </c>
      <c r="C2" s="3" t="s">
        <v>87</v>
      </c>
      <c r="D2" s="4" t="str">
        <f>A7</f>
        <v>Name</v>
      </c>
      <c r="E2" s="3" t="str">
        <f>A5</f>
        <v>Id</v>
      </c>
      <c r="I2" s="3">
        <v>1003</v>
      </c>
      <c r="J2" s="3" t="str">
        <f>A6</f>
        <v>Code</v>
      </c>
      <c r="K2" s="12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25">
      <c r="A7" s="5" t="s">
        <v>29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62</v>
      </c>
    </row>
    <row r="8" spans="1:11" s="3" customFormat="1" x14ac:dyDescent="0.25">
      <c r="A8" s="3" t="s">
        <v>89</v>
      </c>
      <c r="B8" s="3" t="s">
        <v>12</v>
      </c>
      <c r="C8" s="3" t="s">
        <v>7</v>
      </c>
      <c r="D8" s="4">
        <v>255</v>
      </c>
      <c r="E8" s="3" t="str">
        <f>SplitProp(A8)</f>
        <v>nickname</v>
      </c>
      <c r="F8" s="3" t="s">
        <v>61</v>
      </c>
    </row>
    <row r="9" spans="1:11" x14ac:dyDescent="0.25">
      <c r="A9" s="5" t="s">
        <v>66</v>
      </c>
      <c r="B9" s="5" t="s">
        <v>9</v>
      </c>
      <c r="C9" s="5" t="s">
        <v>7</v>
      </c>
      <c r="D9" s="6">
        <v>0</v>
      </c>
      <c r="E9" s="5" t="str">
        <f>SplitProp(A9)</f>
        <v>person_type</v>
      </c>
      <c r="F9" s="5" t="s">
        <v>67</v>
      </c>
    </row>
    <row r="10" spans="1:11" s="3" customFormat="1" x14ac:dyDescent="0.25">
      <c r="A10" s="3" t="s">
        <v>63</v>
      </c>
      <c r="B10" s="3" t="s">
        <v>12</v>
      </c>
      <c r="C10" s="3" t="s">
        <v>7</v>
      </c>
      <c r="D10" s="4">
        <v>30</v>
      </c>
      <c r="E10" s="3" t="s">
        <v>64</v>
      </c>
      <c r="F10" s="3" t="s">
        <v>65</v>
      </c>
    </row>
    <row r="11" spans="1:11" x14ac:dyDescent="0.25">
      <c r="A11" s="5" t="s">
        <v>32</v>
      </c>
      <c r="B11" s="5" t="s">
        <v>9</v>
      </c>
      <c r="C11" s="5" t="s">
        <v>7</v>
      </c>
      <c r="D11" s="6">
        <v>0</v>
      </c>
      <c r="E11" s="5" t="str">
        <f>SplitProp(A11)</f>
        <v>type_code</v>
      </c>
      <c r="F11" s="5" t="s">
        <v>33</v>
      </c>
    </row>
    <row r="12" spans="1:11" s="3" customFormat="1" x14ac:dyDescent="0.25">
      <c r="A12" s="3" t="s">
        <v>34</v>
      </c>
      <c r="B12" s="3" t="s">
        <v>12</v>
      </c>
      <c r="C12" s="3" t="s">
        <v>11</v>
      </c>
      <c r="D12" s="4">
        <v>255</v>
      </c>
      <c r="E12" s="3" t="str">
        <f t="shared" ref="E12" si="1">SplitProp(A12)</f>
        <v>type_name</v>
      </c>
      <c r="F12" s="3" t="s">
        <v>35</v>
      </c>
    </row>
    <row r="13" spans="1:11" x14ac:dyDescent="0.25">
      <c r="A13" s="5" t="s">
        <v>68</v>
      </c>
      <c r="B13" s="5" t="s">
        <v>69</v>
      </c>
      <c r="C13" s="5" t="s">
        <v>7</v>
      </c>
      <c r="D13" s="6">
        <v>0</v>
      </c>
      <c r="E13" s="5" t="s">
        <v>70</v>
      </c>
      <c r="F13" s="5" t="s">
        <v>71</v>
      </c>
    </row>
    <row r="14" spans="1:11" s="3" customFormat="1" x14ac:dyDescent="0.25">
      <c r="A14" s="3" t="s">
        <v>72</v>
      </c>
      <c r="B14" s="3" t="s">
        <v>73</v>
      </c>
      <c r="C14" s="3" t="s">
        <v>7</v>
      </c>
      <c r="D14" s="4">
        <v>0</v>
      </c>
      <c r="E14" s="3" t="s">
        <v>74</v>
      </c>
      <c r="F14" s="3" t="s">
        <v>75</v>
      </c>
    </row>
    <row r="15" spans="1:11" x14ac:dyDescent="0.25">
      <c r="A15" s="5" t="s">
        <v>76</v>
      </c>
      <c r="B15" s="5" t="s">
        <v>77</v>
      </c>
      <c r="C15" s="5" t="s">
        <v>7</v>
      </c>
      <c r="D15" s="6">
        <v>0</v>
      </c>
      <c r="E15" s="5" t="s">
        <v>78</v>
      </c>
      <c r="F15" s="5" t="s">
        <v>79</v>
      </c>
    </row>
    <row r="16" spans="1:11" s="3" customFormat="1" x14ac:dyDescent="0.25">
      <c r="A16" s="3" t="s">
        <v>80</v>
      </c>
      <c r="B16" s="3" t="s">
        <v>9</v>
      </c>
      <c r="C16" s="3" t="s">
        <v>7</v>
      </c>
      <c r="D16" s="4">
        <v>0</v>
      </c>
      <c r="E16" s="3" t="s">
        <v>81</v>
      </c>
      <c r="F16" s="3" t="s">
        <v>82</v>
      </c>
    </row>
    <row r="17" spans="1:6" x14ac:dyDescent="0.25">
      <c r="A17" s="5" t="s">
        <v>83</v>
      </c>
      <c r="B17" s="5" t="s">
        <v>12</v>
      </c>
      <c r="C17" s="5" t="s">
        <v>11</v>
      </c>
      <c r="D17" s="6">
        <v>255</v>
      </c>
      <c r="E17" s="5" t="s">
        <v>84</v>
      </c>
      <c r="F17" s="5" t="s">
        <v>30</v>
      </c>
    </row>
    <row r="18" spans="1:6" s="3" customFormat="1" x14ac:dyDescent="0.25">
      <c r="A18" s="3" t="s">
        <v>85</v>
      </c>
      <c r="B18" s="3" t="s">
        <v>43</v>
      </c>
      <c r="C18" s="3" t="s">
        <v>7</v>
      </c>
      <c r="D18" s="4">
        <v>10</v>
      </c>
      <c r="E18" s="3" t="str">
        <f t="shared" ref="E18" si="2">SplitProp(A18)</f>
        <v>status_date</v>
      </c>
      <c r="F18" s="3" t="s">
        <v>86</v>
      </c>
    </row>
    <row r="19" spans="1:6" x14ac:dyDescent="0.25">
      <c r="A19" s="5" t="s">
        <v>14</v>
      </c>
      <c r="B19" s="5" t="s">
        <v>12</v>
      </c>
      <c r="C19" s="5" t="s">
        <v>11</v>
      </c>
      <c r="D19" s="6">
        <v>8000</v>
      </c>
      <c r="E19" s="5" t="str">
        <f>SplitProp(A19)</f>
        <v>note</v>
      </c>
      <c r="F19" s="5" t="s">
        <v>15</v>
      </c>
    </row>
    <row r="20" spans="1:6" s="9" customFormat="1" x14ac:dyDescent="0.25">
      <c r="A20" s="9" t="s">
        <v>36</v>
      </c>
      <c r="B20" s="9" t="s">
        <v>13</v>
      </c>
      <c r="C20" s="9" t="s">
        <v>7</v>
      </c>
      <c r="D20" s="10">
        <v>50</v>
      </c>
      <c r="E20" s="9" t="str">
        <f t="shared" ref="E20:E22" si="3">SplitProp(A20)</f>
        <v>account_id</v>
      </c>
      <c r="F20" s="9" t="s">
        <v>37</v>
      </c>
    </row>
    <row r="21" spans="1:6" s="7" customFormat="1" x14ac:dyDescent="0.25">
      <c r="A21" s="7" t="s">
        <v>38</v>
      </c>
      <c r="B21" s="7" t="s">
        <v>9</v>
      </c>
      <c r="C21" s="7" t="s">
        <v>7</v>
      </c>
      <c r="D21" s="8">
        <v>10</v>
      </c>
      <c r="E21" s="7" t="str">
        <f t="shared" si="3"/>
        <v>account_code</v>
      </c>
      <c r="F21" s="7" t="s">
        <v>39</v>
      </c>
    </row>
    <row r="22" spans="1:6" s="9" customFormat="1" x14ac:dyDescent="0.25">
      <c r="A22" s="9" t="s">
        <v>40</v>
      </c>
      <c r="B22" s="9" t="s">
        <v>12</v>
      </c>
      <c r="C22" s="9" t="s">
        <v>7</v>
      </c>
      <c r="D22" s="10">
        <v>150</v>
      </c>
      <c r="E22" s="9" t="str">
        <f t="shared" si="3"/>
        <v>account_name</v>
      </c>
      <c r="F22" s="9" t="s">
        <v>41</v>
      </c>
    </row>
    <row r="23" spans="1:6" s="7" customFormat="1" x14ac:dyDescent="0.25">
      <c r="A23" s="7" t="s">
        <v>42</v>
      </c>
      <c r="B23" s="7" t="s">
        <v>43</v>
      </c>
      <c r="C23" s="7" t="s">
        <v>7</v>
      </c>
      <c r="D23" s="8">
        <v>10</v>
      </c>
      <c r="E23" s="7" t="str">
        <f t="shared" ref="E23:E31" si="4">SplitProp(A23)</f>
        <v>creation_date</v>
      </c>
      <c r="F23" s="7" t="s">
        <v>44</v>
      </c>
    </row>
    <row r="24" spans="1:6" s="9" customFormat="1" x14ac:dyDescent="0.25">
      <c r="A24" s="9" t="s">
        <v>45</v>
      </c>
      <c r="B24" s="9" t="s">
        <v>13</v>
      </c>
      <c r="C24" s="9" t="s">
        <v>7</v>
      </c>
      <c r="D24" s="10">
        <v>50</v>
      </c>
      <c r="E24" s="9" t="str">
        <f t="shared" si="4"/>
        <v>creation_user_id</v>
      </c>
      <c r="F24" s="9" t="s">
        <v>46</v>
      </c>
    </row>
    <row r="25" spans="1:6" s="7" customFormat="1" x14ac:dyDescent="0.25">
      <c r="A25" s="7" t="s">
        <v>47</v>
      </c>
      <c r="B25" s="7" t="s">
        <v>12</v>
      </c>
      <c r="C25" s="7" t="s">
        <v>7</v>
      </c>
      <c r="D25" s="8">
        <v>150</v>
      </c>
      <c r="E25" s="7" t="str">
        <f t="shared" si="4"/>
        <v>creation_user_name</v>
      </c>
      <c r="F25" s="7" t="s">
        <v>48</v>
      </c>
    </row>
    <row r="26" spans="1:6" s="9" customFormat="1" x14ac:dyDescent="0.25">
      <c r="A26" s="9" t="s">
        <v>49</v>
      </c>
      <c r="B26" s="9" t="s">
        <v>43</v>
      </c>
      <c r="C26" s="9" t="s">
        <v>11</v>
      </c>
      <c r="D26" s="10">
        <v>10</v>
      </c>
      <c r="E26" s="9" t="str">
        <f t="shared" si="4"/>
        <v>change_date</v>
      </c>
      <c r="F26" s="9" t="s">
        <v>50</v>
      </c>
    </row>
    <row r="27" spans="1:6" s="7" customFormat="1" x14ac:dyDescent="0.25">
      <c r="A27" s="7" t="s">
        <v>51</v>
      </c>
      <c r="B27" s="7" t="s">
        <v>13</v>
      </c>
      <c r="C27" s="7" t="s">
        <v>7</v>
      </c>
      <c r="D27" s="8">
        <v>50</v>
      </c>
      <c r="E27" s="7" t="str">
        <f t="shared" si="4"/>
        <v>change_user_id</v>
      </c>
      <c r="F27" s="7" t="s">
        <v>52</v>
      </c>
    </row>
    <row r="28" spans="1:6" s="9" customFormat="1" x14ac:dyDescent="0.25">
      <c r="A28" s="9" t="s">
        <v>53</v>
      </c>
      <c r="B28" s="9" t="s">
        <v>12</v>
      </c>
      <c r="C28" s="9" t="s">
        <v>11</v>
      </c>
      <c r="D28" s="10">
        <v>150</v>
      </c>
      <c r="E28" s="9" t="str">
        <f t="shared" si="4"/>
        <v>change_user_name</v>
      </c>
      <c r="F28" s="9" t="s">
        <v>54</v>
      </c>
    </row>
    <row r="29" spans="1:6" s="7" customFormat="1" x14ac:dyDescent="0.25">
      <c r="A29" s="7" t="s">
        <v>55</v>
      </c>
      <c r="B29" s="7" t="s">
        <v>43</v>
      </c>
      <c r="C29" s="7" t="s">
        <v>11</v>
      </c>
      <c r="D29" s="8">
        <v>10</v>
      </c>
      <c r="E29" s="7" t="str">
        <f t="shared" si="4"/>
        <v>exclusion_date</v>
      </c>
      <c r="F29" s="7" t="s">
        <v>56</v>
      </c>
    </row>
    <row r="30" spans="1:6" s="9" customFormat="1" x14ac:dyDescent="0.25">
      <c r="A30" s="9" t="s">
        <v>57</v>
      </c>
      <c r="B30" s="9" t="s">
        <v>13</v>
      </c>
      <c r="C30" s="9" t="s">
        <v>7</v>
      </c>
      <c r="D30" s="10">
        <v>50</v>
      </c>
      <c r="E30" s="9" t="str">
        <f t="shared" si="4"/>
        <v>exclusion_user_id</v>
      </c>
      <c r="F30" s="9" t="s">
        <v>58</v>
      </c>
    </row>
    <row r="31" spans="1:6" s="7" customFormat="1" x14ac:dyDescent="0.25">
      <c r="A31" s="7" t="s">
        <v>59</v>
      </c>
      <c r="B31" s="7" t="s">
        <v>12</v>
      </c>
      <c r="C31" s="7" t="s">
        <v>11</v>
      </c>
      <c r="D31" s="8">
        <v>150</v>
      </c>
      <c r="E31" s="7" t="str">
        <f t="shared" si="4"/>
        <v>exclusion_user_name</v>
      </c>
      <c r="F31" s="7" t="s">
        <v>60</v>
      </c>
    </row>
    <row r="32" spans="1:6" s="9" customFormat="1" x14ac:dyDescent="0.25">
      <c r="A32" s="9" t="s">
        <v>28</v>
      </c>
      <c r="B32" s="9" t="s">
        <v>31</v>
      </c>
      <c r="C32" s="9" t="s">
        <v>7</v>
      </c>
      <c r="D32" s="10">
        <v>0</v>
      </c>
      <c r="E32" s="9" t="str">
        <f>SplitProp(A32)</f>
        <v>record_status</v>
      </c>
      <c r="F32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2023-05-10T21:25:21Z</dcterms:modified>
</cp:coreProperties>
</file>