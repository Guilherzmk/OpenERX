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D:\Projects\OpenERX\Docs\"/>
    </mc:Choice>
  </mc:AlternateContent>
  <xr:revisionPtr revIDLastSave="0" documentId="13_ncr:1_{6E99D271-697B-4859-B708-EDFBB0CACEAC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COLLECTION" sheetId="1" r:id="rId1"/>
  </sheets>
  <functionGroups builtInGroupCount="19"/>
  <definedNames>
    <definedName name="_xlnm._FilterDatabase" localSheetId="0" hidden="1">COLLECTION!$A$4:$R$53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1" i="1" l="1"/>
  <c r="I21" i="1"/>
  <c r="H21" i="1"/>
  <c r="J14" i="1"/>
  <c r="I14" i="1"/>
  <c r="H14" i="1"/>
  <c r="J13" i="1"/>
  <c r="I13" i="1"/>
  <c r="H13" i="1"/>
  <c r="H6" i="1"/>
  <c r="I6" i="1"/>
  <c r="J6" i="1"/>
  <c r="H31" i="1"/>
  <c r="I31" i="1"/>
  <c r="J31" i="1"/>
  <c r="H32" i="1"/>
  <c r="I32" i="1"/>
  <c r="J32" i="1"/>
  <c r="H33" i="1"/>
  <c r="I33" i="1"/>
  <c r="J33" i="1"/>
  <c r="H7" i="1"/>
  <c r="I7" i="1"/>
  <c r="J7" i="1"/>
  <c r="H8" i="1"/>
  <c r="I8" i="1"/>
  <c r="J8" i="1"/>
  <c r="H9" i="1"/>
  <c r="I9" i="1"/>
  <c r="J9" i="1"/>
  <c r="H10" i="1"/>
  <c r="I10" i="1"/>
  <c r="J10" i="1"/>
  <c r="H11" i="1"/>
  <c r="I11" i="1"/>
  <c r="J11" i="1"/>
  <c r="H12" i="1"/>
  <c r="I12" i="1"/>
  <c r="J12" i="1"/>
  <c r="H15" i="1"/>
  <c r="I15" i="1"/>
  <c r="J15" i="1"/>
  <c r="H16" i="1"/>
  <c r="I16" i="1"/>
  <c r="J16" i="1"/>
  <c r="H17" i="1"/>
  <c r="I17" i="1"/>
  <c r="J17" i="1"/>
  <c r="H18" i="1"/>
  <c r="I18" i="1"/>
  <c r="J18" i="1"/>
  <c r="H19" i="1"/>
  <c r="I19" i="1"/>
  <c r="J19" i="1"/>
  <c r="H20" i="1"/>
  <c r="I20" i="1"/>
  <c r="J20" i="1"/>
  <c r="H22" i="1"/>
  <c r="I22" i="1"/>
  <c r="J22" i="1"/>
  <c r="H23" i="1"/>
  <c r="I23" i="1"/>
  <c r="J23" i="1"/>
  <c r="H24" i="1"/>
  <c r="I24" i="1"/>
  <c r="J24" i="1"/>
  <c r="H25" i="1"/>
  <c r="I25" i="1"/>
  <c r="J25" i="1"/>
  <c r="H26" i="1"/>
  <c r="I26" i="1"/>
  <c r="J26" i="1"/>
  <c r="H34" i="1"/>
  <c r="I34" i="1"/>
  <c r="J34" i="1"/>
  <c r="H35" i="1"/>
  <c r="I35" i="1"/>
  <c r="J35" i="1"/>
  <c r="H36" i="1"/>
  <c r="I36" i="1"/>
  <c r="J36" i="1"/>
  <c r="H37" i="1"/>
  <c r="I37" i="1"/>
  <c r="J37" i="1"/>
  <c r="H38" i="1"/>
  <c r="I38" i="1"/>
  <c r="J38" i="1"/>
  <c r="H39" i="1"/>
  <c r="I39" i="1"/>
  <c r="J39" i="1"/>
  <c r="H27" i="1"/>
  <c r="I27" i="1"/>
  <c r="J27" i="1"/>
  <c r="H28" i="1"/>
  <c r="I28" i="1"/>
  <c r="J28" i="1"/>
  <c r="H29" i="1"/>
  <c r="I29" i="1"/>
  <c r="J29" i="1"/>
  <c r="H30" i="1"/>
  <c r="I30" i="1"/>
  <c r="J30" i="1"/>
  <c r="H40" i="1"/>
  <c r="I40" i="1"/>
  <c r="J40" i="1"/>
  <c r="H41" i="1"/>
  <c r="I41" i="1"/>
  <c r="J41" i="1"/>
  <c r="H42" i="1"/>
  <c r="I42" i="1"/>
  <c r="J42" i="1"/>
  <c r="H43" i="1"/>
  <c r="I43" i="1"/>
  <c r="J43" i="1"/>
  <c r="H44" i="1"/>
  <c r="I44" i="1"/>
  <c r="J44" i="1"/>
  <c r="H45" i="1"/>
  <c r="I45" i="1"/>
  <c r="J45" i="1"/>
  <c r="H46" i="1"/>
  <c r="I46" i="1"/>
  <c r="J46" i="1"/>
  <c r="H47" i="1"/>
  <c r="I47" i="1"/>
  <c r="J47" i="1"/>
  <c r="H48" i="1"/>
  <c r="I48" i="1"/>
  <c r="J48" i="1"/>
  <c r="H49" i="1"/>
  <c r="I49" i="1"/>
  <c r="J49" i="1"/>
  <c r="H50" i="1"/>
  <c r="I50" i="1"/>
  <c r="J50" i="1"/>
  <c r="H51" i="1"/>
  <c r="I51" i="1"/>
  <c r="J51" i="1"/>
  <c r="H52" i="1"/>
  <c r="I52" i="1"/>
  <c r="J52" i="1"/>
  <c r="H53" i="1"/>
  <c r="I53" i="1"/>
  <c r="J53" i="1"/>
  <c r="J5" i="1"/>
  <c r="I5" i="1"/>
  <c r="H5" i="1"/>
  <c r="E21" i="1"/>
  <c r="E36" i="1"/>
  <c r="E35" i="1"/>
  <c r="E38" i="1"/>
  <c r="E13" i="1"/>
  <c r="E14" i="1"/>
  <c r="E27" i="1"/>
  <c r="E37" i="1"/>
  <c r="E34" i="1"/>
  <c r="E39" i="1"/>
  <c r="E28" i="1"/>
  <c r="E29" i="1"/>
  <c r="J2" i="1" l="1"/>
  <c r="E2" i="1" l="1"/>
  <c r="E15" i="1"/>
  <c r="E10" i="1"/>
  <c r="E6" i="1"/>
  <c r="E49" i="1"/>
  <c r="E20" i="1"/>
  <c r="E12" i="1"/>
  <c r="E53" i="1"/>
  <c r="E32" i="1"/>
  <c r="E18" i="1"/>
  <c r="E22" i="1"/>
  <c r="E52" i="1"/>
  <c r="E46" i="1"/>
  <c r="E9" i="1"/>
  <c r="E42" i="1"/>
  <c r="E17" i="1"/>
  <c r="E16" i="1"/>
  <c r="E33" i="1"/>
  <c r="E43" i="1"/>
  <c r="E31" i="1"/>
  <c r="E25" i="1"/>
  <c r="E11" i="1"/>
  <c r="E26" i="1"/>
  <c r="E40" i="1"/>
  <c r="E51" i="1"/>
  <c r="E7" i="1"/>
  <c r="E30" i="1"/>
  <c r="E19" i="1"/>
  <c r="E23" i="1"/>
  <c r="E5" i="1"/>
  <c r="E47" i="1"/>
  <c r="B2" i="1"/>
  <c r="E45" i="1"/>
  <c r="E48" i="1"/>
  <c r="E50" i="1"/>
  <c r="E44" i="1"/>
  <c r="E8" i="1"/>
  <c r="E41" i="1"/>
  <c r="E24" i="1"/>
</calcChain>
</file>

<file path=xl/sharedStrings.xml><?xml version="1.0" encoding="utf-8"?>
<sst xmlns="http://schemas.openxmlformats.org/spreadsheetml/2006/main" count="231" uniqueCount="137">
  <si>
    <t>DESCRIPTION</t>
  </si>
  <si>
    <t>ENTITY</t>
  </si>
  <si>
    <t>ENTITY FIELD</t>
  </si>
  <si>
    <t>TYPE</t>
  </si>
  <si>
    <t>Data de Nascimento</t>
  </si>
  <si>
    <t>CPF/CNPJ</t>
  </si>
  <si>
    <t>string</t>
  </si>
  <si>
    <t>DateTime</t>
  </si>
  <si>
    <t>int</t>
  </si>
  <si>
    <t>Name</t>
  </si>
  <si>
    <t>BirthDate</t>
  </si>
  <si>
    <t>Endereços</t>
  </si>
  <si>
    <t xml:space="preserve">List&lt;Address&gt; </t>
  </si>
  <si>
    <t>Phones</t>
  </si>
  <si>
    <t>Telefones</t>
  </si>
  <si>
    <t>List&lt;Phone&gt;</t>
  </si>
  <si>
    <t>Emails</t>
  </si>
  <si>
    <t>TOSTRING FIELD</t>
  </si>
  <si>
    <t>ALLOW NULL</t>
  </si>
  <si>
    <t>SIZE</t>
  </si>
  <si>
    <t>false</t>
  </si>
  <si>
    <t>true</t>
  </si>
  <si>
    <t>PRIMARY KEY</t>
  </si>
  <si>
    <t>Guid</t>
  </si>
  <si>
    <t>DATA FIELD</t>
  </si>
  <si>
    <t>REPOSITORY</t>
  </si>
  <si>
    <t>OriginCode</t>
  </si>
  <si>
    <t>OriginName</t>
  </si>
  <si>
    <t>Nome da Origem</t>
  </si>
  <si>
    <t>StatusCode</t>
  </si>
  <si>
    <t>Código do Status</t>
  </si>
  <si>
    <t>StatusName</t>
  </si>
  <si>
    <t>Nome do Status</t>
  </si>
  <si>
    <t>Nome</t>
  </si>
  <si>
    <t>Nickname</t>
  </si>
  <si>
    <t>Apelido</t>
  </si>
  <si>
    <t>List&lt;EmailAddress&gt;</t>
  </si>
  <si>
    <t>Note</t>
  </si>
  <si>
    <t>Observação</t>
  </si>
  <si>
    <t>Addresses</t>
  </si>
  <si>
    <t>TypeCode</t>
  </si>
  <si>
    <t>TypeName</t>
  </si>
  <si>
    <t>CreationDate</t>
  </si>
  <si>
    <t>CreationUserId</t>
  </si>
  <si>
    <t>CreationUserName</t>
  </si>
  <si>
    <t>RecordStatusCode</t>
  </si>
  <si>
    <t>RecordStatusName</t>
  </si>
  <si>
    <t>ChangeDate</t>
  </si>
  <si>
    <t>ExclusionDate</t>
  </si>
  <si>
    <t>ChangeUserName</t>
  </si>
  <si>
    <t>ChangeUserId</t>
  </si>
  <si>
    <t>ExclusionUserId</t>
  </si>
  <si>
    <t>ExclusionUserName</t>
  </si>
  <si>
    <t>Data de Criação</t>
  </si>
  <si>
    <t>Id do Usuário de Criação</t>
  </si>
  <si>
    <t>Nome do Usuário de Criação</t>
  </si>
  <si>
    <t>Data de Alterção</t>
  </si>
  <si>
    <t>Id do Usuário de Alteração</t>
  </si>
  <si>
    <t>Nome do Usuário de Alteração</t>
  </si>
  <si>
    <t>Data de Exclusão</t>
  </si>
  <si>
    <t>Id do Usuário de Exclusão</t>
  </si>
  <si>
    <t>Nome do Usuário de Exclusão</t>
  </si>
  <si>
    <t>Código Status do Registro</t>
  </si>
  <si>
    <t>Nome do Status do Registro</t>
  </si>
  <si>
    <t>StoreName</t>
  </si>
  <si>
    <t>BrokerName</t>
  </si>
  <si>
    <t>Nome da Loja</t>
  </si>
  <si>
    <t>AccountName</t>
  </si>
  <si>
    <t>Nome da Conta</t>
  </si>
  <si>
    <t>AccountCode</t>
  </si>
  <si>
    <t>Código da Conta</t>
  </si>
  <si>
    <t>VersionId</t>
  </si>
  <si>
    <t>VersionDate</t>
  </si>
  <si>
    <t>ID da Versão do Registro</t>
  </si>
  <si>
    <t>Data da Versão do Registro</t>
  </si>
  <si>
    <t>StatusDate</t>
  </si>
  <si>
    <t>Data do Status</t>
  </si>
  <si>
    <t>StatusColor</t>
  </si>
  <si>
    <t>Cor do Status</t>
  </si>
  <si>
    <t>StatusNote</t>
  </si>
  <si>
    <t>Observação do Status</t>
  </si>
  <si>
    <t>PreviousId</t>
  </si>
  <si>
    <t>ID da Versão Anterior do Registro</t>
  </si>
  <si>
    <t>StoreCode</t>
  </si>
  <si>
    <t>Código da Loja</t>
  </si>
  <si>
    <t>BrokerCode</t>
  </si>
  <si>
    <t>Código da Origem</t>
  </si>
  <si>
    <t>DOMAINS</t>
  </si>
  <si>
    <t>AccountId</t>
  </si>
  <si>
    <t>ID da Conta</t>
  </si>
  <si>
    <t>LABEL</t>
  </si>
  <si>
    <t>SEARCH_COLUMN_WIDTH</t>
  </si>
  <si>
    <t>Código Externo</t>
  </si>
  <si>
    <t>SEARCH_COLUMN_FORMAT</t>
  </si>
  <si>
    <t>DETAIL</t>
  </si>
  <si>
    <t>Código do Agente</t>
  </si>
  <si>
    <t>Nome do Agente</t>
  </si>
  <si>
    <t>ExternalCode</t>
  </si>
  <si>
    <t>CREATE</t>
  </si>
  <si>
    <t>UPDATE</t>
  </si>
  <si>
    <t>FILTER</t>
  </si>
  <si>
    <t>SELECT</t>
  </si>
  <si>
    <t>SELECT_VALUE</t>
  </si>
  <si>
    <t>SELECT_NAME</t>
  </si>
  <si>
    <t>SHORT DESCRIPTION</t>
  </si>
  <si>
    <t>PARENT</t>
  </si>
  <si>
    <t>PARENT DESCRIPTION</t>
  </si>
  <si>
    <t>FEATURE CODE</t>
  </si>
  <si>
    <t>SETTING DEFAULT</t>
  </si>
  <si>
    <t>StoreId</t>
  </si>
  <si>
    <t>Id da Loja</t>
  </si>
  <si>
    <t>BrokerId</t>
  </si>
  <si>
    <t>Id da Agente</t>
  </si>
  <si>
    <t>OriginId</t>
  </si>
  <si>
    <t>Id da Origem</t>
  </si>
  <si>
    <t>Sites</t>
  </si>
  <si>
    <t>List&lt;Site&gt;</t>
  </si>
  <si>
    <t>ENTITY CODE</t>
  </si>
  <si>
    <t>LANGUAGE ENTITY</t>
  </si>
  <si>
    <t>Código do Tipo</t>
  </si>
  <si>
    <t>Nome do Tipo</t>
  </si>
  <si>
    <t>Customer</t>
  </si>
  <si>
    <t>Cliente</t>
  </si>
  <si>
    <t>Id do Cliente</t>
  </si>
  <si>
    <t>Código do Cliente</t>
  </si>
  <si>
    <t>Id</t>
  </si>
  <si>
    <t>Code</t>
  </si>
  <si>
    <t>Display</t>
  </si>
  <si>
    <t>Identity</t>
  </si>
  <si>
    <t>Visualização</t>
  </si>
  <si>
    <t>PersonTypeCode</t>
  </si>
  <si>
    <t>PersonTypeName</t>
  </si>
  <si>
    <t>Código do Tipo de Pessoa</t>
  </si>
  <si>
    <t>Nome do Tipo de Pessoa</t>
  </si>
  <si>
    <t>Fields</t>
  </si>
  <si>
    <t>Outros Campos</t>
  </si>
  <si>
    <t>List&lt;DataField&gt;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</si>
</sst>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0" fontId="3" fillId="2" borderId="0" xfId="0" applyFont="1" applyFill="1" applyAlignment="1">
      <alignment vertical="center" wrapText="1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vertical="center" wrapText="1"/>
    </xf>
    <xf numFmtId="0" fontId="3" fillId="2" borderId="0" xfId="0" applyFont="1" applyFill="1" applyAlignment="1">
      <alignment horizontal="center" vertical="center" wrapText="1"/>
    </xf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R53"/>
  <sheetViews>
    <sheetView tabSelected="1" zoomScaleNormal="100" zoomScalePageLayoutView="11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ColWidth="11" defaultRowHeight="15.75" x14ac:dyDescent="0.25"/>
  <cols>
    <col min="1" max="1" width="19.25" style="3" bestFit="1" customWidth="1"/>
    <col min="2" max="2" width="19.75" style="3" bestFit="1" customWidth="1"/>
    <col min="3" max="3" width="13.625" style="3" bestFit="1" customWidth="1"/>
    <col min="4" max="4" width="14.375" style="4" bestFit="1" customWidth="1"/>
    <col min="5" max="5" width="21" style="3" bestFit="1" customWidth="1"/>
    <col min="6" max="6" width="39" style="3" bestFit="1" customWidth="1"/>
    <col min="7" max="7" width="23.5" style="3" bestFit="1" customWidth="1"/>
    <col min="8" max="9" width="19.75" style="3" bestFit="1" customWidth="1"/>
    <col min="10" max="10" width="39" style="3" bestFit="1" customWidth="1"/>
    <col min="11" max="11" width="16.375" style="3" bestFit="1" customWidth="1"/>
    <col min="12" max="12" width="8.25" style="3" bestFit="1" customWidth="1"/>
    <col min="13" max="13" width="8.75" style="3" bestFit="1" customWidth="1"/>
    <col min="14" max="14" width="15.25" style="3" bestFit="1" customWidth="1"/>
    <col min="15" max="15" width="14.75" style="3" bestFit="1" customWidth="1"/>
    <col min="16" max="16" width="25" style="3" bestFit="1" customWidth="1"/>
    <col min="17" max="17" width="26.375" style="3" bestFit="1" customWidth="1"/>
    <col min="18" max="18" width="19.75" style="3" bestFit="1" customWidth="1"/>
    <col min="19" max="16384" width="11" style="3"/>
  </cols>
  <sheetData>
    <row r="1" spans="1:18" s="1" customFormat="1" x14ac:dyDescent="0.25">
      <c r="A1" s="1" t="s">
        <v>1</v>
      </c>
      <c r="B1" s="1" t="s">
        <v>25</v>
      </c>
      <c r="C1" s="1" t="s">
        <v>0</v>
      </c>
      <c r="D1" s="2" t="s">
        <v>17</v>
      </c>
      <c r="E1" s="1" t="s">
        <v>22</v>
      </c>
      <c r="F1" s="11" t="s">
        <v>104</v>
      </c>
      <c r="G1" s="11" t="s">
        <v>105</v>
      </c>
      <c r="H1" s="11" t="s">
        <v>106</v>
      </c>
      <c r="I1" s="11" t="s">
        <v>107</v>
      </c>
      <c r="J1" s="11" t="s">
        <v>117</v>
      </c>
      <c r="K1" s="11" t="s">
        <v>118</v>
      </c>
      <c r="L1" s="11"/>
    </row>
    <row r="2" spans="1:18" s="5" customFormat="1" x14ac:dyDescent="0.25">
      <c r="A2" s="5" t="s">
        <v>121</v>
      </c>
      <c r="B2" s="5" t="str">
        <f>SplitProp(A2)</f>
        <v>customer</v>
      </c>
      <c r="C2" s="5" t="s">
        <v>122</v>
      </c>
      <c r="D2" s="6" t="s">
        <v>9</v>
      </c>
      <c r="E2" s="5" t="str">
        <f>A5</f>
        <v>Id</v>
      </c>
      <c r="F2" s="12" t="s">
        <v>122</v>
      </c>
      <c r="G2" s="13" t="s">
        <v>121</v>
      </c>
      <c r="H2" s="13" t="s">
        <v>122</v>
      </c>
      <c r="I2" s="13">
        <v>1002</v>
      </c>
      <c r="J2" s="13" t="str">
        <f>A6</f>
        <v>Code</v>
      </c>
      <c r="K2" s="13"/>
      <c r="L2" s="13"/>
    </row>
    <row r="3" spans="1:18" x14ac:dyDescent="0.25">
      <c r="A3" s="3">
        <v>1</v>
      </c>
      <c r="B3" s="3">
        <v>2</v>
      </c>
      <c r="C3" s="3">
        <v>3</v>
      </c>
      <c r="D3" s="3">
        <v>4</v>
      </c>
      <c r="E3" s="3">
        <v>5</v>
      </c>
      <c r="F3" s="3">
        <v>6</v>
      </c>
      <c r="G3" s="3">
        <v>7</v>
      </c>
      <c r="H3" s="3">
        <v>8</v>
      </c>
      <c r="I3" s="3">
        <v>9</v>
      </c>
      <c r="J3" s="3">
        <v>10</v>
      </c>
      <c r="K3" s="3">
        <v>11</v>
      </c>
      <c r="L3" s="3">
        <v>12</v>
      </c>
      <c r="M3" s="3">
        <v>13</v>
      </c>
      <c r="N3" s="3">
        <v>14</v>
      </c>
      <c r="O3" s="3">
        <v>15</v>
      </c>
      <c r="P3" s="3">
        <v>16</v>
      </c>
      <c r="Q3" s="3">
        <v>17</v>
      </c>
      <c r="R3" s="3">
        <v>18</v>
      </c>
    </row>
    <row r="4" spans="1:18" s="1" customFormat="1" x14ac:dyDescent="0.25">
      <c r="A4" s="1" t="s">
        <v>2</v>
      </c>
      <c r="B4" s="1" t="s">
        <v>3</v>
      </c>
      <c r="C4" s="1" t="s">
        <v>18</v>
      </c>
      <c r="D4" s="2" t="s">
        <v>19</v>
      </c>
      <c r="E4" s="1" t="s">
        <v>24</v>
      </c>
      <c r="F4" s="1" t="s">
        <v>0</v>
      </c>
      <c r="G4" s="1" t="s">
        <v>87</v>
      </c>
      <c r="H4" s="1" t="s">
        <v>98</v>
      </c>
      <c r="I4" s="1" t="s">
        <v>99</v>
      </c>
      <c r="J4" s="1" t="s">
        <v>90</v>
      </c>
      <c r="K4" s="1" t="s">
        <v>94</v>
      </c>
      <c r="L4" s="1" t="s">
        <v>100</v>
      </c>
      <c r="M4" s="1" t="s">
        <v>101</v>
      </c>
      <c r="N4" s="1" t="s">
        <v>102</v>
      </c>
      <c r="O4" s="1" t="s">
        <v>103</v>
      </c>
      <c r="P4" s="1" t="s">
        <v>91</v>
      </c>
      <c r="Q4" s="1" t="s">
        <v>93</v>
      </c>
      <c r="R4" s="14" t="s">
        <v>108</v>
      </c>
    </row>
    <row r="5" spans="1:18" x14ac:dyDescent="0.25">
      <c r="A5" s="3" t="s">
        <v>125</v>
      </c>
      <c r="B5" s="3" t="s">
        <v>23</v>
      </c>
      <c r="C5" s="3" t="s">
        <v>20</v>
      </c>
      <c r="D5" s="4">
        <v>50</v>
      </c>
      <c r="E5" s="3" t="str">
        <f>SplitProp(A5)</f>
        <v>id</v>
      </c>
      <c r="F5" s="3" t="s">
        <v>123</v>
      </c>
      <c r="H5" s="3" t="str">
        <f>B5</f>
        <v>Guid</v>
      </c>
      <c r="I5" s="3" t="str">
        <f>B5</f>
        <v>Guid</v>
      </c>
      <c r="J5" s="3" t="str">
        <f>F5</f>
        <v>Id do Cliente</v>
      </c>
    </row>
    <row r="6" spans="1:18" s="5" customFormat="1" x14ac:dyDescent="0.25">
      <c r="A6" s="5" t="s">
        <v>126</v>
      </c>
      <c r="B6" s="5" t="s">
        <v>8</v>
      </c>
      <c r="C6" s="5" t="s">
        <v>20</v>
      </c>
      <c r="D6" s="6">
        <v>10</v>
      </c>
      <c r="E6" s="5" t="str">
        <f t="shared" ref="E6:E53" si="0">SplitProp(A6)</f>
        <v>code</v>
      </c>
      <c r="F6" s="5" t="s">
        <v>124</v>
      </c>
      <c r="H6" s="5" t="str">
        <f t="shared" ref="H6:H26" si="1">B6</f>
        <v>int</v>
      </c>
      <c r="I6" s="5" t="str">
        <f t="shared" ref="I6:I26" si="2">B6</f>
        <v>int</v>
      </c>
      <c r="J6" s="5" t="str">
        <f t="shared" ref="J6:J26" si="3">F6</f>
        <v>Código do Cliente</v>
      </c>
    </row>
    <row r="7" spans="1:18" x14ac:dyDescent="0.25">
      <c r="A7" s="3" t="s">
        <v>40</v>
      </c>
      <c r="B7" s="3" t="s">
        <v>8</v>
      </c>
      <c r="C7" s="3" t="s">
        <v>20</v>
      </c>
      <c r="D7" s="4">
        <v>10</v>
      </c>
      <c r="E7" s="3" t="str">
        <f t="shared" si="0"/>
        <v>type_code</v>
      </c>
      <c r="F7" s="3" t="s">
        <v>119</v>
      </c>
      <c r="H7" s="3" t="str">
        <f t="shared" si="1"/>
        <v>int</v>
      </c>
      <c r="I7" s="3" t="str">
        <f t="shared" si="2"/>
        <v>int</v>
      </c>
      <c r="J7" s="3" t="str">
        <f t="shared" si="3"/>
        <v>Código do Tipo</v>
      </c>
    </row>
    <row r="8" spans="1:18" s="5" customFormat="1" x14ac:dyDescent="0.25">
      <c r="A8" s="5" t="s">
        <v>41</v>
      </c>
      <c r="B8" s="5" t="s">
        <v>6</v>
      </c>
      <c r="C8" s="5" t="s">
        <v>21</v>
      </c>
      <c r="D8" s="6">
        <v>150</v>
      </c>
      <c r="E8" s="5" t="str">
        <f t="shared" si="0"/>
        <v>type_name</v>
      </c>
      <c r="F8" s="5" t="s">
        <v>120</v>
      </c>
      <c r="H8" s="5" t="str">
        <f t="shared" si="1"/>
        <v>string</v>
      </c>
      <c r="I8" s="5" t="str">
        <f t="shared" si="2"/>
        <v>string</v>
      </c>
      <c r="J8" s="5" t="str">
        <f t="shared" si="3"/>
        <v>Nome do Tipo</v>
      </c>
    </row>
    <row r="9" spans="1:18" x14ac:dyDescent="0.25">
      <c r="A9" s="3" t="s">
        <v>9</v>
      </c>
      <c r="B9" s="3" t="s">
        <v>6</v>
      </c>
      <c r="C9" s="3" t="s">
        <v>20</v>
      </c>
      <c r="D9" s="4">
        <v>150</v>
      </c>
      <c r="E9" s="3" t="str">
        <f t="shared" si="0"/>
        <v>name</v>
      </c>
      <c r="F9" s="3" t="s">
        <v>33</v>
      </c>
      <c r="H9" s="3" t="str">
        <f t="shared" si="1"/>
        <v>string</v>
      </c>
      <c r="I9" s="3" t="str">
        <f t="shared" si="2"/>
        <v>string</v>
      </c>
      <c r="J9" s="3" t="str">
        <f t="shared" si="3"/>
        <v>Nome</v>
      </c>
    </row>
    <row r="10" spans="1:18" s="5" customFormat="1" x14ac:dyDescent="0.25">
      <c r="A10" s="5" t="s">
        <v>34</v>
      </c>
      <c r="B10" s="5" t="s">
        <v>6</v>
      </c>
      <c r="C10" s="5" t="s">
        <v>20</v>
      </c>
      <c r="D10" s="6">
        <v>150</v>
      </c>
      <c r="E10" s="5" t="str">
        <f t="shared" si="0"/>
        <v>nickname</v>
      </c>
      <c r="F10" s="5" t="s">
        <v>35</v>
      </c>
      <c r="H10" s="5" t="str">
        <f t="shared" si="1"/>
        <v>string</v>
      </c>
      <c r="I10" s="5" t="str">
        <f t="shared" si="2"/>
        <v>string</v>
      </c>
      <c r="J10" s="5" t="str">
        <f t="shared" si="3"/>
        <v>Apelido</v>
      </c>
    </row>
    <row r="11" spans="1:18" x14ac:dyDescent="0.25">
      <c r="A11" s="3" t="s">
        <v>127</v>
      </c>
      <c r="B11" s="3" t="s">
        <v>6</v>
      </c>
      <c r="C11" s="3" t="s">
        <v>21</v>
      </c>
      <c r="D11" s="4">
        <v>255</v>
      </c>
      <c r="E11" s="3" t="str">
        <f t="shared" ref="E11" si="4">SplitProp(A11)</f>
        <v>display</v>
      </c>
      <c r="F11" s="3" t="s">
        <v>129</v>
      </c>
      <c r="H11" s="3" t="str">
        <f t="shared" si="1"/>
        <v>string</v>
      </c>
      <c r="I11" s="3" t="str">
        <f t="shared" si="2"/>
        <v>string</v>
      </c>
      <c r="J11" s="3" t="str">
        <f t="shared" si="3"/>
        <v>Visualização</v>
      </c>
    </row>
    <row r="12" spans="1:18" s="5" customFormat="1" x14ac:dyDescent="0.25">
      <c r="A12" s="5" t="s">
        <v>10</v>
      </c>
      <c r="B12" s="5" t="s">
        <v>7</v>
      </c>
      <c r="C12" s="5" t="s">
        <v>21</v>
      </c>
      <c r="D12" s="6">
        <v>10</v>
      </c>
      <c r="E12" s="5" t="str">
        <f t="shared" si="0"/>
        <v>birth_date</v>
      </c>
      <c r="F12" s="5" t="s">
        <v>4</v>
      </c>
      <c r="H12" s="5" t="str">
        <f t="shared" si="1"/>
        <v>DateTime</v>
      </c>
      <c r="I12" s="5" t="str">
        <f t="shared" si="2"/>
        <v>DateTime</v>
      </c>
      <c r="J12" s="5" t="str">
        <f t="shared" si="3"/>
        <v>Data de Nascimento</v>
      </c>
    </row>
    <row r="13" spans="1:18" x14ac:dyDescent="0.25">
      <c r="A13" s="3" t="s">
        <v>130</v>
      </c>
      <c r="B13" s="3" t="s">
        <v>8</v>
      </c>
      <c r="C13" s="3" t="s">
        <v>20</v>
      </c>
      <c r="D13" s="4">
        <v>10</v>
      </c>
      <c r="E13" s="3" t="str">
        <f t="shared" ref="E13:E14" si="5">SplitProp(A13)</f>
        <v>person_type_code</v>
      </c>
      <c r="F13" s="3" t="s">
        <v>132</v>
      </c>
      <c r="H13" s="3" t="str">
        <f t="shared" ref="H13:H14" si="6">B13</f>
        <v>int</v>
      </c>
      <c r="I13" s="3" t="str">
        <f t="shared" ref="I13:I14" si="7">B13</f>
        <v>int</v>
      </c>
      <c r="J13" s="3" t="str">
        <f t="shared" ref="J13:J14" si="8">F13</f>
        <v>Código do Tipo de Pessoa</v>
      </c>
    </row>
    <row r="14" spans="1:18" s="5" customFormat="1" x14ac:dyDescent="0.25">
      <c r="A14" s="5" t="s">
        <v>131</v>
      </c>
      <c r="B14" s="5" t="s">
        <v>6</v>
      </c>
      <c r="C14" s="5" t="s">
        <v>21</v>
      </c>
      <c r="D14" s="6">
        <v>150</v>
      </c>
      <c r="E14" s="5" t="str">
        <f t="shared" si="5"/>
        <v>person_type_name</v>
      </c>
      <c r="F14" s="5" t="s">
        <v>133</v>
      </c>
      <c r="H14" s="5" t="str">
        <f t="shared" si="6"/>
        <v>string</v>
      </c>
      <c r="I14" s="5" t="str">
        <f t="shared" si="7"/>
        <v>string</v>
      </c>
      <c r="J14" s="5" t="str">
        <f t="shared" si="8"/>
        <v>Nome do Tipo de Pessoa</v>
      </c>
    </row>
    <row r="15" spans="1:18" x14ac:dyDescent="0.25">
      <c r="A15" s="3" t="s">
        <v>128</v>
      </c>
      <c r="B15" s="3" t="s">
        <v>6</v>
      </c>
      <c r="C15" s="3" t="s">
        <v>20</v>
      </c>
      <c r="D15" s="4">
        <v>20</v>
      </c>
      <c r="E15" s="3" t="str">
        <f t="shared" si="0"/>
        <v>identity</v>
      </c>
      <c r="F15" s="3" t="s">
        <v>5</v>
      </c>
      <c r="H15" s="3" t="str">
        <f t="shared" si="1"/>
        <v>string</v>
      </c>
      <c r="I15" s="3" t="str">
        <f t="shared" si="2"/>
        <v>string</v>
      </c>
      <c r="J15" s="3" t="str">
        <f t="shared" si="3"/>
        <v>CPF/CNPJ</v>
      </c>
    </row>
    <row r="16" spans="1:18" s="5" customFormat="1" x14ac:dyDescent="0.25">
      <c r="A16" s="5" t="s">
        <v>97</v>
      </c>
      <c r="B16" s="5" t="s">
        <v>6</v>
      </c>
      <c r="C16" s="5" t="s">
        <v>21</v>
      </c>
      <c r="D16" s="6">
        <v>50</v>
      </c>
      <c r="E16" s="5" t="str">
        <f t="shared" si="0"/>
        <v>external_code</v>
      </c>
      <c r="F16" s="5" t="s">
        <v>92</v>
      </c>
      <c r="H16" s="5" t="str">
        <f t="shared" si="1"/>
        <v>string</v>
      </c>
      <c r="I16" s="5" t="str">
        <f t="shared" si="2"/>
        <v>string</v>
      </c>
      <c r="J16" s="5" t="str">
        <f t="shared" si="3"/>
        <v>Código Externo</v>
      </c>
    </row>
    <row r="17" spans="1:10" x14ac:dyDescent="0.25">
      <c r="A17" s="3" t="s">
        <v>39</v>
      </c>
      <c r="B17" s="3" t="s">
        <v>12</v>
      </c>
      <c r="C17" s="3" t="s">
        <v>21</v>
      </c>
      <c r="D17" s="4">
        <v>0</v>
      </c>
      <c r="E17" s="3" t="str">
        <f t="shared" si="0"/>
        <v>addresses</v>
      </c>
      <c r="F17" s="3" t="s">
        <v>11</v>
      </c>
      <c r="H17" s="3" t="str">
        <f t="shared" si="1"/>
        <v xml:space="preserve">List&lt;Address&gt; </v>
      </c>
      <c r="I17" s="3" t="str">
        <f t="shared" si="2"/>
        <v xml:space="preserve">List&lt;Address&gt; </v>
      </c>
      <c r="J17" s="3" t="str">
        <f t="shared" si="3"/>
        <v>Endereços</v>
      </c>
    </row>
    <row r="18" spans="1:10" s="5" customFormat="1" x14ac:dyDescent="0.25">
      <c r="A18" s="5" t="s">
        <v>13</v>
      </c>
      <c r="B18" s="5" t="s">
        <v>15</v>
      </c>
      <c r="C18" s="5" t="s">
        <v>21</v>
      </c>
      <c r="D18" s="6">
        <v>0</v>
      </c>
      <c r="E18" s="5" t="str">
        <f t="shared" si="0"/>
        <v>phones</v>
      </c>
      <c r="F18" s="5" t="s">
        <v>14</v>
      </c>
      <c r="H18" s="5" t="str">
        <f t="shared" si="1"/>
        <v>List&lt;Phone&gt;</v>
      </c>
      <c r="I18" s="5" t="str">
        <f t="shared" si="2"/>
        <v>List&lt;Phone&gt;</v>
      </c>
      <c r="J18" s="5" t="str">
        <f t="shared" si="3"/>
        <v>Telefones</v>
      </c>
    </row>
    <row r="19" spans="1:10" x14ac:dyDescent="0.25">
      <c r="A19" s="3" t="s">
        <v>16</v>
      </c>
      <c r="B19" s="3" t="s">
        <v>36</v>
      </c>
      <c r="C19" s="3" t="s">
        <v>21</v>
      </c>
      <c r="D19" s="4">
        <v>0</v>
      </c>
      <c r="E19" s="3" t="str">
        <f t="shared" si="0"/>
        <v>emails</v>
      </c>
      <c r="F19" s="3" t="s">
        <v>16</v>
      </c>
      <c r="H19" s="3" t="str">
        <f t="shared" si="1"/>
        <v>List&lt;EmailAddress&gt;</v>
      </c>
      <c r="I19" s="3" t="str">
        <f t="shared" si="2"/>
        <v>List&lt;EmailAddress&gt;</v>
      </c>
      <c r="J19" s="3" t="str">
        <f t="shared" si="3"/>
        <v>Emails</v>
      </c>
    </row>
    <row r="20" spans="1:10" s="5" customFormat="1" x14ac:dyDescent="0.25">
      <c r="A20" s="5" t="s">
        <v>115</v>
      </c>
      <c r="B20" s="5" t="s">
        <v>116</v>
      </c>
      <c r="C20" s="5" t="s">
        <v>21</v>
      </c>
      <c r="D20" s="6">
        <v>0</v>
      </c>
      <c r="E20" s="5" t="str">
        <f t="shared" ref="E20" si="9">SplitProp(A20)</f>
        <v>sites</v>
      </c>
      <c r="F20" s="5" t="s">
        <v>115</v>
      </c>
      <c r="H20" s="5" t="str">
        <f t="shared" si="1"/>
        <v>List&lt;Site&gt;</v>
      </c>
      <c r="I20" s="5" t="str">
        <f t="shared" si="2"/>
        <v>List&lt;Site&gt;</v>
      </c>
      <c r="J20" s="5" t="str">
        <f t="shared" si="3"/>
        <v>Sites</v>
      </c>
    </row>
    <row r="21" spans="1:10" x14ac:dyDescent="0.25">
      <c r="A21" s="3" t="s">
        <v>134</v>
      </c>
      <c r="B21" s="3" t="s">
        <v>136</v>
      </c>
      <c r="C21" s="3" t="s">
        <v>21</v>
      </c>
      <c r="D21" s="4">
        <v>0</v>
      </c>
      <c r="E21" s="3" t="str">
        <f>SplitProp(A21)</f>
        <v>fields</v>
      </c>
      <c r="F21" s="3" t="s">
        <v>135</v>
      </c>
      <c r="H21" s="3" t="str">
        <f t="shared" si="1"/>
        <v>List&lt;DataField&gt;</v>
      </c>
      <c r="I21" s="3" t="str">
        <f t="shared" si="2"/>
        <v>List&lt;DataField&gt;</v>
      </c>
      <c r="J21" s="3" t="str">
        <f t="shared" si="3"/>
        <v>Outros Campos</v>
      </c>
    </row>
    <row r="22" spans="1:10" s="5" customFormat="1" x14ac:dyDescent="0.25">
      <c r="A22" s="5" t="s">
        <v>29</v>
      </c>
      <c r="B22" s="5" t="s">
        <v>8</v>
      </c>
      <c r="C22" s="5" t="s">
        <v>20</v>
      </c>
      <c r="D22" s="6">
        <v>10</v>
      </c>
      <c r="E22" s="5" t="str">
        <f t="shared" si="0"/>
        <v>status_code</v>
      </c>
      <c r="F22" s="5" t="s">
        <v>30</v>
      </c>
      <c r="H22" s="5" t="str">
        <f t="shared" si="1"/>
        <v>int</v>
      </c>
      <c r="I22" s="5" t="str">
        <f t="shared" si="2"/>
        <v>int</v>
      </c>
      <c r="J22" s="5" t="str">
        <f t="shared" si="3"/>
        <v>Código do Status</v>
      </c>
    </row>
    <row r="23" spans="1:10" x14ac:dyDescent="0.25">
      <c r="A23" s="3" t="s">
        <v>31</v>
      </c>
      <c r="B23" s="3" t="s">
        <v>6</v>
      </c>
      <c r="C23" s="3" t="s">
        <v>21</v>
      </c>
      <c r="D23" s="4">
        <v>150</v>
      </c>
      <c r="E23" s="3" t="str">
        <f t="shared" si="0"/>
        <v>status_name</v>
      </c>
      <c r="F23" s="3" t="s">
        <v>32</v>
      </c>
      <c r="H23" s="3" t="str">
        <f t="shared" si="1"/>
        <v>string</v>
      </c>
      <c r="I23" s="3" t="str">
        <f t="shared" si="2"/>
        <v>string</v>
      </c>
      <c r="J23" s="3" t="str">
        <f t="shared" si="3"/>
        <v>Nome do Status</v>
      </c>
    </row>
    <row r="24" spans="1:10" s="5" customFormat="1" x14ac:dyDescent="0.25">
      <c r="A24" s="5" t="s">
        <v>75</v>
      </c>
      <c r="B24" s="5" t="s">
        <v>7</v>
      </c>
      <c r="C24" s="5" t="s">
        <v>21</v>
      </c>
      <c r="D24" s="6">
        <v>10</v>
      </c>
      <c r="E24" s="5" t="str">
        <f t="shared" si="0"/>
        <v>status_date</v>
      </c>
      <c r="F24" s="5" t="s">
        <v>76</v>
      </c>
      <c r="H24" s="5" t="str">
        <f t="shared" si="1"/>
        <v>DateTime</v>
      </c>
      <c r="I24" s="5" t="str">
        <f t="shared" si="2"/>
        <v>DateTime</v>
      </c>
      <c r="J24" s="5" t="str">
        <f t="shared" si="3"/>
        <v>Data do Status</v>
      </c>
    </row>
    <row r="25" spans="1:10" x14ac:dyDescent="0.25">
      <c r="A25" s="3" t="s">
        <v>77</v>
      </c>
      <c r="B25" s="3" t="s">
        <v>6</v>
      </c>
      <c r="C25" s="3" t="s">
        <v>21</v>
      </c>
      <c r="D25" s="4">
        <v>25</v>
      </c>
      <c r="E25" s="3" t="str">
        <f t="shared" si="0"/>
        <v>status_color</v>
      </c>
      <c r="F25" s="3" t="s">
        <v>78</v>
      </c>
      <c r="H25" s="3" t="str">
        <f t="shared" si="1"/>
        <v>string</v>
      </c>
      <c r="I25" s="3" t="str">
        <f t="shared" si="2"/>
        <v>string</v>
      </c>
      <c r="J25" s="3" t="str">
        <f t="shared" si="3"/>
        <v>Cor do Status</v>
      </c>
    </row>
    <row r="26" spans="1:10" s="5" customFormat="1" x14ac:dyDescent="0.25">
      <c r="A26" s="5" t="s">
        <v>79</v>
      </c>
      <c r="B26" s="5" t="s">
        <v>6</v>
      </c>
      <c r="C26" s="5" t="s">
        <v>21</v>
      </c>
      <c r="D26" s="6">
        <v>255</v>
      </c>
      <c r="E26" s="5" t="str">
        <f t="shared" si="0"/>
        <v>status_note</v>
      </c>
      <c r="F26" s="5" t="s">
        <v>80</v>
      </c>
      <c r="H26" s="5" t="str">
        <f t="shared" si="1"/>
        <v>string</v>
      </c>
      <c r="I26" s="5" t="str">
        <f t="shared" si="2"/>
        <v>string</v>
      </c>
      <c r="J26" s="5" t="str">
        <f t="shared" si="3"/>
        <v>Observação do Status</v>
      </c>
    </row>
    <row r="27" spans="1:10" x14ac:dyDescent="0.25">
      <c r="A27" s="3" t="s">
        <v>113</v>
      </c>
      <c r="B27" s="3" t="s">
        <v>23</v>
      </c>
      <c r="C27" s="3" t="s">
        <v>20</v>
      </c>
      <c r="D27" s="4">
        <v>50</v>
      </c>
      <c r="E27" s="3" t="str">
        <f>SplitProp(A27)</f>
        <v>origin_id</v>
      </c>
      <c r="F27" s="3" t="s">
        <v>114</v>
      </c>
      <c r="H27" s="3" t="str">
        <f t="shared" ref="H27:H53" si="10">B27</f>
        <v>Guid</v>
      </c>
      <c r="I27" s="3" t="str">
        <f t="shared" ref="I27:I53" si="11">B27</f>
        <v>Guid</v>
      </c>
      <c r="J27" s="3" t="str">
        <f t="shared" ref="J27:J53" si="12">F27</f>
        <v>Id da Origem</v>
      </c>
    </row>
    <row r="28" spans="1:10" s="5" customFormat="1" x14ac:dyDescent="0.25">
      <c r="A28" s="5" t="s">
        <v>26</v>
      </c>
      <c r="B28" s="5" t="s">
        <v>8</v>
      </c>
      <c r="C28" s="5" t="s">
        <v>20</v>
      </c>
      <c r="D28" s="6">
        <v>10</v>
      </c>
      <c r="E28" s="5" t="str">
        <f t="shared" ref="E28:E29" si="13">SplitProp(A28)</f>
        <v>origin_code</v>
      </c>
      <c r="F28" s="5" t="s">
        <v>86</v>
      </c>
      <c r="H28" s="5" t="str">
        <f t="shared" si="10"/>
        <v>int</v>
      </c>
      <c r="I28" s="5" t="str">
        <f t="shared" si="11"/>
        <v>int</v>
      </c>
      <c r="J28" s="5" t="str">
        <f t="shared" si="12"/>
        <v>Código da Origem</v>
      </c>
    </row>
    <row r="29" spans="1:10" x14ac:dyDescent="0.25">
      <c r="A29" s="3" t="s">
        <v>27</v>
      </c>
      <c r="B29" s="3" t="s">
        <v>6</v>
      </c>
      <c r="C29" s="3" t="s">
        <v>21</v>
      </c>
      <c r="D29" s="4">
        <v>150</v>
      </c>
      <c r="E29" s="3" t="str">
        <f t="shared" si="13"/>
        <v>origin_name</v>
      </c>
      <c r="F29" s="3" t="s">
        <v>28</v>
      </c>
      <c r="H29" s="3" t="str">
        <f t="shared" si="10"/>
        <v>string</v>
      </c>
      <c r="I29" s="3" t="str">
        <f t="shared" si="11"/>
        <v>string</v>
      </c>
      <c r="J29" s="3" t="str">
        <f t="shared" si="12"/>
        <v>Nome da Origem</v>
      </c>
    </row>
    <row r="30" spans="1:10" s="5" customFormat="1" x14ac:dyDescent="0.25">
      <c r="A30" s="5" t="s">
        <v>37</v>
      </c>
      <c r="B30" s="5" t="s">
        <v>6</v>
      </c>
      <c r="C30" s="5" t="s">
        <v>21</v>
      </c>
      <c r="D30" s="6">
        <v>255</v>
      </c>
      <c r="E30" s="5" t="str">
        <f>SplitProp(A30)</f>
        <v>note</v>
      </c>
      <c r="F30" s="5" t="s">
        <v>38</v>
      </c>
      <c r="H30" s="5" t="str">
        <f t="shared" si="10"/>
        <v>string</v>
      </c>
      <c r="I30" s="5" t="str">
        <f t="shared" si="11"/>
        <v>string</v>
      </c>
      <c r="J30" s="5" t="str">
        <f t="shared" si="12"/>
        <v>Observação</v>
      </c>
    </row>
    <row r="31" spans="1:10" s="7" customFormat="1" x14ac:dyDescent="0.25">
      <c r="A31" s="7" t="s">
        <v>88</v>
      </c>
      <c r="B31" s="7" t="s">
        <v>23</v>
      </c>
      <c r="C31" s="7" t="s">
        <v>20</v>
      </c>
      <c r="D31" s="8">
        <v>50</v>
      </c>
      <c r="E31" s="7" t="str">
        <f t="shared" ref="E31:E33" si="14">SplitProp(A31)</f>
        <v>account_id</v>
      </c>
      <c r="F31" s="7" t="s">
        <v>89</v>
      </c>
      <c r="H31" s="7" t="str">
        <f t="shared" ref="H31:H39" si="15">B31</f>
        <v>Guid</v>
      </c>
      <c r="I31" s="7" t="str">
        <f t="shared" ref="I31:I39" si="16">B31</f>
        <v>Guid</v>
      </c>
      <c r="J31" s="7" t="str">
        <f t="shared" ref="J31:J39" si="17">F31</f>
        <v>ID da Conta</v>
      </c>
    </row>
    <row r="32" spans="1:10" s="9" customFormat="1" x14ac:dyDescent="0.25">
      <c r="A32" s="9" t="s">
        <v>69</v>
      </c>
      <c r="B32" s="9" t="s">
        <v>8</v>
      </c>
      <c r="C32" s="9" t="s">
        <v>20</v>
      </c>
      <c r="D32" s="10">
        <v>10</v>
      </c>
      <c r="E32" s="9" t="str">
        <f t="shared" si="14"/>
        <v>account_code</v>
      </c>
      <c r="F32" s="9" t="s">
        <v>70</v>
      </c>
      <c r="H32" s="9" t="str">
        <f t="shared" si="15"/>
        <v>int</v>
      </c>
      <c r="I32" s="9" t="str">
        <f t="shared" si="16"/>
        <v>int</v>
      </c>
      <c r="J32" s="9" t="str">
        <f t="shared" si="17"/>
        <v>Código da Conta</v>
      </c>
    </row>
    <row r="33" spans="1:10" s="7" customFormat="1" x14ac:dyDescent="0.25">
      <c r="A33" s="7" t="s">
        <v>67</v>
      </c>
      <c r="B33" s="7" t="s">
        <v>6</v>
      </c>
      <c r="C33" s="7" t="s">
        <v>20</v>
      </c>
      <c r="D33" s="8">
        <v>150</v>
      </c>
      <c r="E33" s="7" t="str">
        <f t="shared" si="14"/>
        <v>account_name</v>
      </c>
      <c r="F33" s="7" t="s">
        <v>68</v>
      </c>
      <c r="H33" s="7" t="str">
        <f t="shared" si="15"/>
        <v>string</v>
      </c>
      <c r="I33" s="7" t="str">
        <f t="shared" si="16"/>
        <v>string</v>
      </c>
      <c r="J33" s="7" t="str">
        <f t="shared" si="17"/>
        <v>Nome da Conta</v>
      </c>
    </row>
    <row r="34" spans="1:10" s="9" customFormat="1" x14ac:dyDescent="0.25">
      <c r="A34" s="9" t="s">
        <v>109</v>
      </c>
      <c r="B34" s="9" t="s">
        <v>23</v>
      </c>
      <c r="C34" s="9" t="s">
        <v>20</v>
      </c>
      <c r="D34" s="10">
        <v>50</v>
      </c>
      <c r="E34" s="9" t="str">
        <f t="shared" ref="E34:E39" si="18">SplitProp(A34)</f>
        <v>store_id</v>
      </c>
      <c r="F34" s="9" t="s">
        <v>110</v>
      </c>
      <c r="H34" s="9" t="str">
        <f t="shared" si="15"/>
        <v>Guid</v>
      </c>
      <c r="I34" s="9" t="str">
        <f t="shared" si="16"/>
        <v>Guid</v>
      </c>
      <c r="J34" s="9" t="str">
        <f t="shared" si="17"/>
        <v>Id da Loja</v>
      </c>
    </row>
    <row r="35" spans="1:10" s="7" customFormat="1" x14ac:dyDescent="0.25">
      <c r="A35" s="7" t="s">
        <v>83</v>
      </c>
      <c r="B35" s="7" t="s">
        <v>8</v>
      </c>
      <c r="C35" s="7" t="s">
        <v>20</v>
      </c>
      <c r="D35" s="8">
        <v>10</v>
      </c>
      <c r="E35" s="7" t="str">
        <f>SplitProp(A35)</f>
        <v>store_code</v>
      </c>
      <c r="F35" s="7" t="s">
        <v>84</v>
      </c>
      <c r="H35" s="7" t="str">
        <f t="shared" si="15"/>
        <v>int</v>
      </c>
      <c r="I35" s="7" t="str">
        <f t="shared" si="16"/>
        <v>int</v>
      </c>
      <c r="J35" s="7" t="str">
        <f t="shared" si="17"/>
        <v>Código da Loja</v>
      </c>
    </row>
    <row r="36" spans="1:10" s="9" customFormat="1" x14ac:dyDescent="0.25">
      <c r="A36" s="9" t="s">
        <v>64</v>
      </c>
      <c r="B36" s="9" t="s">
        <v>6</v>
      </c>
      <c r="C36" s="9" t="s">
        <v>21</v>
      </c>
      <c r="D36" s="10">
        <v>150</v>
      </c>
      <c r="E36" s="9" t="str">
        <f t="shared" si="18"/>
        <v>store_name</v>
      </c>
      <c r="F36" s="9" t="s">
        <v>66</v>
      </c>
      <c r="H36" s="9" t="str">
        <f t="shared" si="15"/>
        <v>string</v>
      </c>
      <c r="I36" s="9" t="str">
        <f t="shared" si="16"/>
        <v>string</v>
      </c>
      <c r="J36" s="9" t="str">
        <f t="shared" si="17"/>
        <v>Nome da Loja</v>
      </c>
    </row>
    <row r="37" spans="1:10" s="7" customFormat="1" x14ac:dyDescent="0.25">
      <c r="A37" s="7" t="s">
        <v>111</v>
      </c>
      <c r="B37" s="7" t="s">
        <v>23</v>
      </c>
      <c r="C37" s="7" t="s">
        <v>20</v>
      </c>
      <c r="D37" s="8">
        <v>50</v>
      </c>
      <c r="E37" s="7" t="str">
        <f t="shared" ref="E37" si="19">SplitProp(A37)</f>
        <v>broker_id</v>
      </c>
      <c r="F37" s="7" t="s">
        <v>112</v>
      </c>
      <c r="H37" s="7" t="str">
        <f t="shared" si="15"/>
        <v>Guid</v>
      </c>
      <c r="I37" s="7" t="str">
        <f t="shared" si="16"/>
        <v>Guid</v>
      </c>
      <c r="J37" s="7" t="str">
        <f t="shared" si="17"/>
        <v>Id da Agente</v>
      </c>
    </row>
    <row r="38" spans="1:10" s="9" customFormat="1" x14ac:dyDescent="0.25">
      <c r="A38" s="9" t="s">
        <v>85</v>
      </c>
      <c r="B38" s="9" t="s">
        <v>8</v>
      </c>
      <c r="C38" s="9" t="s">
        <v>20</v>
      </c>
      <c r="D38" s="10">
        <v>10</v>
      </c>
      <c r="E38" s="9" t="str">
        <f>SplitProp(A38)</f>
        <v>broker_code</v>
      </c>
      <c r="F38" s="9" t="s">
        <v>95</v>
      </c>
      <c r="H38" s="9" t="str">
        <f t="shared" si="15"/>
        <v>int</v>
      </c>
      <c r="I38" s="9" t="str">
        <f t="shared" si="16"/>
        <v>int</v>
      </c>
      <c r="J38" s="9" t="str">
        <f t="shared" si="17"/>
        <v>Código do Agente</v>
      </c>
    </row>
    <row r="39" spans="1:10" s="7" customFormat="1" x14ac:dyDescent="0.25">
      <c r="A39" s="7" t="s">
        <v>65</v>
      </c>
      <c r="B39" s="7" t="s">
        <v>6</v>
      </c>
      <c r="C39" s="7" t="s">
        <v>21</v>
      </c>
      <c r="D39" s="8">
        <v>150</v>
      </c>
      <c r="E39" s="7" t="str">
        <f t="shared" si="18"/>
        <v>broker_name</v>
      </c>
      <c r="F39" s="7" t="s">
        <v>96</v>
      </c>
      <c r="H39" s="7" t="str">
        <f t="shared" si="15"/>
        <v>string</v>
      </c>
      <c r="I39" s="7" t="str">
        <f t="shared" si="16"/>
        <v>string</v>
      </c>
      <c r="J39" s="7" t="str">
        <f t="shared" si="17"/>
        <v>Nome do Agente</v>
      </c>
    </row>
    <row r="40" spans="1:10" s="9" customFormat="1" x14ac:dyDescent="0.25">
      <c r="A40" s="9" t="s">
        <v>42</v>
      </c>
      <c r="B40" s="9" t="s">
        <v>7</v>
      </c>
      <c r="C40" s="9" t="s">
        <v>20</v>
      </c>
      <c r="D40" s="10">
        <v>10</v>
      </c>
      <c r="E40" s="9" t="str">
        <f t="shared" si="0"/>
        <v>creation_date</v>
      </c>
      <c r="F40" s="9" t="s">
        <v>53</v>
      </c>
      <c r="H40" s="9" t="str">
        <f t="shared" si="10"/>
        <v>DateTime</v>
      </c>
      <c r="I40" s="9" t="str">
        <f t="shared" si="11"/>
        <v>DateTime</v>
      </c>
      <c r="J40" s="9" t="str">
        <f t="shared" si="12"/>
        <v>Data de Criação</v>
      </c>
    </row>
    <row r="41" spans="1:10" s="7" customFormat="1" x14ac:dyDescent="0.25">
      <c r="A41" s="7" t="s">
        <v>43</v>
      </c>
      <c r="B41" s="7" t="s">
        <v>23</v>
      </c>
      <c r="C41" s="7" t="s">
        <v>20</v>
      </c>
      <c r="D41" s="8">
        <v>50</v>
      </c>
      <c r="E41" s="7" t="str">
        <f t="shared" si="0"/>
        <v>creation_user_id</v>
      </c>
      <c r="F41" s="7" t="s">
        <v>54</v>
      </c>
      <c r="H41" s="7" t="str">
        <f t="shared" si="10"/>
        <v>Guid</v>
      </c>
      <c r="I41" s="7" t="str">
        <f t="shared" si="11"/>
        <v>Guid</v>
      </c>
      <c r="J41" s="7" t="str">
        <f t="shared" si="12"/>
        <v>Id do Usuário de Criação</v>
      </c>
    </row>
    <row r="42" spans="1:10" s="9" customFormat="1" x14ac:dyDescent="0.25">
      <c r="A42" s="9" t="s">
        <v>44</v>
      </c>
      <c r="B42" s="9" t="s">
        <v>6</v>
      </c>
      <c r="C42" s="9" t="s">
        <v>20</v>
      </c>
      <c r="D42" s="10">
        <v>150</v>
      </c>
      <c r="E42" s="9" t="str">
        <f t="shared" si="0"/>
        <v>creation_user_name</v>
      </c>
      <c r="F42" s="9" t="s">
        <v>55</v>
      </c>
      <c r="H42" s="9" t="str">
        <f t="shared" si="10"/>
        <v>string</v>
      </c>
      <c r="I42" s="9" t="str">
        <f t="shared" si="11"/>
        <v>string</v>
      </c>
      <c r="J42" s="9" t="str">
        <f t="shared" si="12"/>
        <v>Nome do Usuário de Criação</v>
      </c>
    </row>
    <row r="43" spans="1:10" s="7" customFormat="1" x14ac:dyDescent="0.25">
      <c r="A43" s="7" t="s">
        <v>47</v>
      </c>
      <c r="B43" s="7" t="s">
        <v>7</v>
      </c>
      <c r="C43" s="7" t="s">
        <v>21</v>
      </c>
      <c r="D43" s="8">
        <v>10</v>
      </c>
      <c r="E43" s="7" t="str">
        <f t="shared" si="0"/>
        <v>change_date</v>
      </c>
      <c r="F43" s="7" t="s">
        <v>56</v>
      </c>
      <c r="H43" s="7" t="str">
        <f t="shared" si="10"/>
        <v>DateTime</v>
      </c>
      <c r="I43" s="7" t="str">
        <f t="shared" si="11"/>
        <v>DateTime</v>
      </c>
      <c r="J43" s="7" t="str">
        <f t="shared" si="12"/>
        <v>Data de Alterção</v>
      </c>
    </row>
    <row r="44" spans="1:10" s="9" customFormat="1" x14ac:dyDescent="0.25">
      <c r="A44" s="9" t="s">
        <v>50</v>
      </c>
      <c r="B44" s="9" t="s">
        <v>23</v>
      </c>
      <c r="C44" s="9" t="s">
        <v>20</v>
      </c>
      <c r="D44" s="10">
        <v>50</v>
      </c>
      <c r="E44" s="9" t="str">
        <f t="shared" si="0"/>
        <v>change_user_id</v>
      </c>
      <c r="F44" s="9" t="s">
        <v>57</v>
      </c>
      <c r="H44" s="9" t="str">
        <f t="shared" si="10"/>
        <v>Guid</v>
      </c>
      <c r="I44" s="9" t="str">
        <f t="shared" si="11"/>
        <v>Guid</v>
      </c>
      <c r="J44" s="9" t="str">
        <f t="shared" si="12"/>
        <v>Id do Usuário de Alteração</v>
      </c>
    </row>
    <row r="45" spans="1:10" s="7" customFormat="1" x14ac:dyDescent="0.25">
      <c r="A45" s="7" t="s">
        <v>49</v>
      </c>
      <c r="B45" s="7" t="s">
        <v>6</v>
      </c>
      <c r="C45" s="7" t="s">
        <v>21</v>
      </c>
      <c r="D45" s="8">
        <v>150</v>
      </c>
      <c r="E45" s="7" t="str">
        <f t="shared" si="0"/>
        <v>change_user_name</v>
      </c>
      <c r="F45" s="7" t="s">
        <v>58</v>
      </c>
      <c r="H45" s="7" t="str">
        <f t="shared" si="10"/>
        <v>string</v>
      </c>
      <c r="I45" s="7" t="str">
        <f t="shared" si="11"/>
        <v>string</v>
      </c>
      <c r="J45" s="7" t="str">
        <f t="shared" si="12"/>
        <v>Nome do Usuário de Alteração</v>
      </c>
    </row>
    <row r="46" spans="1:10" s="9" customFormat="1" x14ac:dyDescent="0.25">
      <c r="A46" s="9" t="s">
        <v>48</v>
      </c>
      <c r="B46" s="9" t="s">
        <v>7</v>
      </c>
      <c r="C46" s="9" t="s">
        <v>21</v>
      </c>
      <c r="D46" s="10">
        <v>10</v>
      </c>
      <c r="E46" s="9" t="str">
        <f t="shared" si="0"/>
        <v>exclusion_date</v>
      </c>
      <c r="F46" s="9" t="s">
        <v>59</v>
      </c>
      <c r="H46" s="9" t="str">
        <f t="shared" si="10"/>
        <v>DateTime</v>
      </c>
      <c r="I46" s="9" t="str">
        <f t="shared" si="11"/>
        <v>DateTime</v>
      </c>
      <c r="J46" s="9" t="str">
        <f t="shared" si="12"/>
        <v>Data de Exclusão</v>
      </c>
    </row>
    <row r="47" spans="1:10" s="7" customFormat="1" x14ac:dyDescent="0.25">
      <c r="A47" s="7" t="s">
        <v>51</v>
      </c>
      <c r="B47" s="7" t="s">
        <v>23</v>
      </c>
      <c r="C47" s="7" t="s">
        <v>20</v>
      </c>
      <c r="D47" s="8">
        <v>50</v>
      </c>
      <c r="E47" s="7" t="str">
        <f t="shared" si="0"/>
        <v>exclusion_user_id</v>
      </c>
      <c r="F47" s="7" t="s">
        <v>60</v>
      </c>
      <c r="H47" s="7" t="str">
        <f t="shared" si="10"/>
        <v>Guid</v>
      </c>
      <c r="I47" s="7" t="str">
        <f t="shared" si="11"/>
        <v>Guid</v>
      </c>
      <c r="J47" s="7" t="str">
        <f t="shared" si="12"/>
        <v>Id do Usuário de Exclusão</v>
      </c>
    </row>
    <row r="48" spans="1:10" s="9" customFormat="1" x14ac:dyDescent="0.25">
      <c r="A48" s="9" t="s">
        <v>52</v>
      </c>
      <c r="B48" s="9" t="s">
        <v>6</v>
      </c>
      <c r="C48" s="9" t="s">
        <v>21</v>
      </c>
      <c r="D48" s="10">
        <v>150</v>
      </c>
      <c r="E48" s="9" t="str">
        <f t="shared" si="0"/>
        <v>exclusion_user_name</v>
      </c>
      <c r="F48" s="9" t="s">
        <v>61</v>
      </c>
      <c r="H48" s="9" t="str">
        <f t="shared" si="10"/>
        <v>string</v>
      </c>
      <c r="I48" s="9" t="str">
        <f t="shared" si="11"/>
        <v>string</v>
      </c>
      <c r="J48" s="9" t="str">
        <f t="shared" si="12"/>
        <v>Nome do Usuário de Exclusão</v>
      </c>
    </row>
    <row r="49" spans="1:10" s="7" customFormat="1" x14ac:dyDescent="0.25">
      <c r="A49" s="7" t="s">
        <v>45</v>
      </c>
      <c r="B49" s="7" t="s">
        <v>8</v>
      </c>
      <c r="C49" s="7" t="s">
        <v>20</v>
      </c>
      <c r="D49" s="8">
        <v>10</v>
      </c>
      <c r="E49" s="7" t="str">
        <f t="shared" si="0"/>
        <v>record_status_code</v>
      </c>
      <c r="F49" s="7" t="s">
        <v>62</v>
      </c>
      <c r="H49" s="7" t="str">
        <f t="shared" si="10"/>
        <v>int</v>
      </c>
      <c r="I49" s="7" t="str">
        <f t="shared" si="11"/>
        <v>int</v>
      </c>
      <c r="J49" s="7" t="str">
        <f t="shared" si="12"/>
        <v>Código Status do Registro</v>
      </c>
    </row>
    <row r="50" spans="1:10" s="9" customFormat="1" x14ac:dyDescent="0.25">
      <c r="A50" s="9" t="s">
        <v>46</v>
      </c>
      <c r="B50" s="9" t="s">
        <v>6</v>
      </c>
      <c r="C50" s="9" t="s">
        <v>20</v>
      </c>
      <c r="D50" s="10">
        <v>150</v>
      </c>
      <c r="E50" s="9" t="str">
        <f t="shared" si="0"/>
        <v>record_status_name</v>
      </c>
      <c r="F50" s="9" t="s">
        <v>63</v>
      </c>
      <c r="H50" s="9" t="str">
        <f t="shared" si="10"/>
        <v>string</v>
      </c>
      <c r="I50" s="9" t="str">
        <f t="shared" si="11"/>
        <v>string</v>
      </c>
      <c r="J50" s="9" t="str">
        <f t="shared" si="12"/>
        <v>Nome do Status do Registro</v>
      </c>
    </row>
    <row r="51" spans="1:10" s="7" customFormat="1" x14ac:dyDescent="0.25">
      <c r="A51" s="7" t="s">
        <v>71</v>
      </c>
      <c r="B51" s="7" t="s">
        <v>23</v>
      </c>
      <c r="C51" s="7" t="s">
        <v>20</v>
      </c>
      <c r="D51" s="8">
        <v>50</v>
      </c>
      <c r="E51" s="7" t="str">
        <f t="shared" si="0"/>
        <v>version_id</v>
      </c>
      <c r="F51" s="7" t="s">
        <v>73</v>
      </c>
      <c r="H51" s="7" t="str">
        <f t="shared" si="10"/>
        <v>Guid</v>
      </c>
      <c r="I51" s="7" t="str">
        <f t="shared" si="11"/>
        <v>Guid</v>
      </c>
      <c r="J51" s="7" t="str">
        <f t="shared" si="12"/>
        <v>ID da Versão do Registro</v>
      </c>
    </row>
    <row r="52" spans="1:10" s="9" customFormat="1" x14ac:dyDescent="0.25">
      <c r="A52" s="9" t="s">
        <v>81</v>
      </c>
      <c r="B52" s="9" t="s">
        <v>23</v>
      </c>
      <c r="C52" s="9" t="s">
        <v>20</v>
      </c>
      <c r="D52" s="10">
        <v>50</v>
      </c>
      <c r="E52" s="9" t="str">
        <f t="shared" si="0"/>
        <v>previous_id</v>
      </c>
      <c r="F52" s="9" t="s">
        <v>82</v>
      </c>
      <c r="H52" s="9" t="str">
        <f t="shared" si="10"/>
        <v>Guid</v>
      </c>
      <c r="I52" s="9" t="str">
        <f t="shared" si="11"/>
        <v>Guid</v>
      </c>
      <c r="J52" s="9" t="str">
        <f t="shared" si="12"/>
        <v>ID da Versão Anterior do Registro</v>
      </c>
    </row>
    <row r="53" spans="1:10" s="7" customFormat="1" x14ac:dyDescent="0.25">
      <c r="A53" s="7" t="s">
        <v>72</v>
      </c>
      <c r="B53" s="7" t="s">
        <v>7</v>
      </c>
      <c r="C53" s="7" t="s">
        <v>20</v>
      </c>
      <c r="D53" s="8">
        <v>10</v>
      </c>
      <c r="E53" s="7" t="str">
        <f t="shared" si="0"/>
        <v>version_date</v>
      </c>
      <c r="F53" s="7" t="s">
        <v>74</v>
      </c>
      <c r="H53" s="7" t="str">
        <f t="shared" si="10"/>
        <v>DateTime</v>
      </c>
      <c r="I53" s="7" t="str">
        <f t="shared" si="11"/>
        <v>DateTime</v>
      </c>
      <c r="J53" s="7" t="str">
        <f t="shared" si="12"/>
        <v>Data da Versão do Registro</v>
      </c>
    </row>
  </sheetData>
  <autoFilter ref="A4:R53" xr:uid="{37A48BC3-22F7-4EB3-90A5-54A07CF1D0CB}"/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</cp:lastModifiedBy>
  <dcterms:created xsi:type="dcterms:W3CDTF">2015-11-13T18:23:01Z</dcterms:created>
  <dcterms:modified xsi:type="dcterms:W3CDTF">2023-05-17T20:32:29Z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68232bf7-f0e2-466c-8092-85986b557f9e</vt:lpwstr>
  </property>
</Properties>
</file>