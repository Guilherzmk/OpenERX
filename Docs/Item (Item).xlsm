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46F054F5-E762-456E-B5C7-3F5B7DEBE42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53" i="1" l="1"/>
  <c r="H53" i="1"/>
  <c r="I53" i="1" s="1"/>
  <c r="H51" i="1"/>
  <c r="I51" i="1" s="1"/>
  <c r="J51" i="1"/>
  <c r="H52" i="1"/>
  <c r="I52" i="1" s="1"/>
  <c r="J52" i="1"/>
  <c r="J20" i="1"/>
  <c r="H20" i="1"/>
  <c r="I20" i="1" s="1"/>
  <c r="J19" i="1"/>
  <c r="H19" i="1"/>
  <c r="I19" i="1" s="1"/>
  <c r="J18" i="1"/>
  <c r="H18" i="1"/>
  <c r="I18" i="1" s="1"/>
  <c r="J49" i="1"/>
  <c r="H49" i="1"/>
  <c r="I49" i="1" s="1"/>
  <c r="H47" i="1"/>
  <c r="I47" i="1" s="1"/>
  <c r="J47" i="1"/>
  <c r="H48" i="1"/>
  <c r="I48" i="1"/>
  <c r="J48" i="1"/>
  <c r="H42" i="1"/>
  <c r="I42" i="1" s="1"/>
  <c r="J42" i="1"/>
  <c r="H43" i="1"/>
  <c r="I43" i="1" s="1"/>
  <c r="J43" i="1"/>
  <c r="H44" i="1"/>
  <c r="I44" i="1" s="1"/>
  <c r="J44" i="1"/>
  <c r="H45" i="1"/>
  <c r="I45" i="1"/>
  <c r="J45" i="1"/>
  <c r="H46" i="1"/>
  <c r="I46" i="1" s="1"/>
  <c r="J46" i="1"/>
  <c r="H14" i="1"/>
  <c r="I14" i="1" s="1"/>
  <c r="J14" i="1"/>
  <c r="J12" i="1"/>
  <c r="H12" i="1"/>
  <c r="I12" i="1" s="1"/>
  <c r="H10" i="1"/>
  <c r="I10" i="1" s="1"/>
  <c r="J10" i="1"/>
  <c r="H11" i="1"/>
  <c r="I11" i="1" s="1"/>
  <c r="J11" i="1"/>
  <c r="E48" i="1"/>
  <c r="E12" i="1"/>
  <c r="E24" i="1"/>
  <c r="E23" i="1"/>
  <c r="E15" i="1"/>
  <c r="E13" i="1"/>
  <c r="E17" i="1"/>
  <c r="E32" i="1"/>
  <c r="E43" i="1"/>
  <c r="E53" i="1"/>
  <c r="E10" i="1"/>
  <c r="E9" i="1"/>
  <c r="E34" i="1"/>
  <c r="E51" i="1"/>
  <c r="E22" i="1"/>
  <c r="E45" i="1"/>
  <c r="E31" i="1"/>
  <c r="E21" i="1"/>
  <c r="E11" i="1"/>
  <c r="E52" i="1"/>
  <c r="E5" i="1"/>
  <c r="E41" i="1"/>
  <c r="E6" i="1"/>
  <c r="E7" i="1"/>
  <c r="E8" i="1"/>
  <c r="E33" i="1"/>
  <c r="E30" i="1"/>
  <c r="E40" i="1"/>
  <c r="E39" i="1"/>
  <c r="E38" i="1"/>
  <c r="E37" i="1"/>
  <c r="E36" i="1"/>
  <c r="E35" i="1"/>
  <c r="E42" i="1"/>
  <c r="E44" i="1"/>
  <c r="E19" i="1"/>
  <c r="E20" i="1"/>
  <c r="E18" i="1"/>
  <c r="E46" i="1"/>
  <c r="E49" i="1"/>
  <c r="E14" i="1"/>
  <c r="E29" i="1"/>
  <c r="E28" i="1"/>
  <c r="E25" i="1"/>
  <c r="E47" i="1"/>
  <c r="E27" i="1"/>
  <c r="E26" i="1"/>
  <c r="E2" i="1" l="1"/>
  <c r="E63" i="1"/>
  <c r="E61" i="1"/>
  <c r="E60" i="1"/>
  <c r="E56" i="1"/>
  <c r="E58" i="1"/>
  <c r="E62" i="1"/>
  <c r="E66" i="1"/>
  <c r="E57" i="1"/>
  <c r="E55" i="1"/>
  <c r="E65" i="1"/>
  <c r="E59" i="1"/>
  <c r="E67" i="1"/>
  <c r="E50" i="1"/>
  <c r="E16" i="1"/>
  <c r="E64" i="1"/>
  <c r="D2" i="1" l="1"/>
  <c r="J2" i="1"/>
  <c r="B2" i="1"/>
  <c r="E54" i="1"/>
</calcChain>
</file>

<file path=xl/sharedStrings.xml><?xml version="1.0" encoding="utf-8"?>
<sst xmlns="http://schemas.openxmlformats.org/spreadsheetml/2006/main" count="272" uniqueCount="155">
  <si>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</si>
  <si>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</si>
  <si>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</si>
  <si>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</si>
  <si>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</si>
  <si>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</si>
  <si>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</si>
  <si>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</si>
  <si>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</si>
  <si>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</si>
  <si>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</si>
  <si>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</si>
  <si>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</si>
  <si>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</si>
  <si>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</si>
  <si>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</si>
  <si>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</si>
  <si>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</si>
  <si>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</si>
  <si>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</si>
  <si>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</si>
  <si>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</si>
  <si>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</si>
  <si>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</si>
  <si>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</si>
  <si>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</si>
  <si>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Description</t>
  </si>
  <si>
    <t>Id</t>
  </si>
  <si>
    <t>Código</t>
  </si>
  <si>
    <t>VERSION</t>
  </si>
  <si>
    <t>Descrição</t>
  </si>
  <si>
    <t>RecordStatus</t>
  </si>
  <si>
    <t>Name</t>
  </si>
  <si>
    <t>Nome do Status</t>
  </si>
  <si>
    <t>Enabled</t>
  </si>
  <si>
    <t>Color</t>
  </si>
  <si>
    <t>Cor</t>
  </si>
  <si>
    <t>short</t>
  </si>
  <si>
    <t>Model</t>
  </si>
  <si>
    <t>Modelo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</si>
  <si>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</si>
  <si>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</si>
  <si>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</si>
  <si>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</si>
  <si>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</si>
  <si>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</si>
  <si>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</si>
  <si>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</si>
  <si>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</si>
  <si>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</si>
  <si>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</si>
  <si>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</si>
  <si>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</si>
  <si>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</si>
  <si>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</si>
  <si>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</si>
  <si>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</si>
  <si>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</si>
  <si>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</si>
  <si>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</si>
  <si>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</si>
  <si>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</si>
  <si>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</si>
  <si>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</si>
  <si>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</si>
  <si>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</si>
  <si>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</si>
  <si>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</si>
  <si>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</si>
  <si>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double</t>
  </si>
  <si>
    <t>Ativo</t>
  </si>
  <si>
    <t>Item</t>
  </si>
  <si>
    <t>AvgCost</t>
  </si>
  <si>
    <t>Custo Médio</t>
  </si>
  <si>
    <t>SKU</t>
  </si>
  <si>
    <t>Sku</t>
  </si>
  <si>
    <t>Height</t>
  </si>
  <si>
    <t>Altura do produto</t>
  </si>
  <si>
    <t>Width</t>
  </si>
  <si>
    <t>Largura do produto</t>
  </si>
  <si>
    <t>Weight</t>
  </si>
  <si>
    <t>Peso do produto</t>
  </si>
  <si>
    <t>Length</t>
  </si>
  <si>
    <t>Comprimento do produto</t>
  </si>
  <si>
    <t>PackagingWeight</t>
  </si>
  <si>
    <t>Altura da Embalagem</t>
  </si>
  <si>
    <t>PackagingWidth</t>
  </si>
  <si>
    <t>Largura da Embalagem</t>
  </si>
  <si>
    <t>PackagingHeight</t>
  </si>
  <si>
    <t>Peso da Embalagem</t>
  </si>
  <si>
    <t>PackagingLength</t>
  </si>
  <si>
    <t>Comprimento da Embalagem</t>
  </si>
  <si>
    <t>Images</t>
  </si>
  <si>
    <t>List&lt;ProductImage&gt;</t>
  </si>
  <si>
    <t>ManufacturerName</t>
  </si>
  <si>
    <t>Nome do Fabricante</t>
  </si>
  <si>
    <t>ManufacturerCode</t>
  </si>
  <si>
    <t>Código do Fabricante</t>
  </si>
  <si>
    <t>BarCodes</t>
  </si>
  <si>
    <t>Ilist&lt;KeyLabelValue&gt;</t>
  </si>
  <si>
    <t xml:space="preserve">true  </t>
  </si>
  <si>
    <t>Código de Barras</t>
  </si>
  <si>
    <t>List&lt;string&gt;</t>
  </si>
  <si>
    <t>BrandName</t>
  </si>
  <si>
    <t>Marca</t>
  </si>
  <si>
    <t>BrandCode</t>
  </si>
  <si>
    <t>Código da Marca</t>
  </si>
  <si>
    <t>Código do Grupo</t>
  </si>
  <si>
    <t>GroupName</t>
  </si>
  <si>
    <t>GroupCode</t>
  </si>
  <si>
    <t>Nome da Grupo</t>
  </si>
  <si>
    <t>SubgroupCode</t>
  </si>
  <si>
    <t>SubgroupName</t>
  </si>
  <si>
    <t>Código do Subgrupo</t>
  </si>
  <si>
    <t>Nome da Subgrupo</t>
  </si>
  <si>
    <t>UnitMeasurementName</t>
  </si>
  <si>
    <t>Nome da medida da unidade</t>
  </si>
  <si>
    <t>UnitMeasurementCode</t>
  </si>
  <si>
    <t>Código de medida da unidade</t>
  </si>
  <si>
    <t>ExpirationTime</t>
  </si>
  <si>
    <t>Tempo de Validade em Dias</t>
  </si>
  <si>
    <t>Nome Resumido</t>
  </si>
  <si>
    <t>ShortName</t>
  </si>
  <si>
    <t>Nome Completo</t>
  </si>
  <si>
    <t>FullName</t>
  </si>
  <si>
    <t>Tamanho</t>
  </si>
  <si>
    <t>Size</t>
  </si>
  <si>
    <t>Observação do Status</t>
  </si>
  <si>
    <t>StatusNote</t>
  </si>
  <si>
    <t>Cor do Status</t>
  </si>
  <si>
    <t>StatusColor</t>
  </si>
  <si>
    <t>Data do Status</t>
  </si>
  <si>
    <t>StatusDate</t>
  </si>
  <si>
    <t>StatusName</t>
  </si>
  <si>
    <t>Código do Status</t>
  </si>
  <si>
    <t>StatusCode</t>
  </si>
  <si>
    <t>Estoque Máximo</t>
  </si>
  <si>
    <t>MaxStock</t>
  </si>
  <si>
    <t>Estoque Mínimo</t>
  </si>
  <si>
    <t>MinStock</t>
  </si>
  <si>
    <t>Quantity</t>
  </si>
  <si>
    <t>Quantidade em Estoque</t>
  </si>
  <si>
    <t>CostValue</t>
  </si>
  <si>
    <t>Valor de Custo</t>
  </si>
  <si>
    <t>MinSaleValue</t>
  </si>
  <si>
    <t>Valor Mínimo de Venda</t>
  </si>
  <si>
    <t>SaleValue</t>
  </si>
  <si>
    <t>Valor de Venda</t>
  </si>
  <si>
    <t>Impostos</t>
  </si>
  <si>
    <t>Taxes</t>
  </si>
  <si>
    <t>Valor do Imposto</t>
  </si>
  <si>
    <t>TaxValue</t>
  </si>
  <si>
    <t>Fields</t>
  </si>
  <si>
    <t>Outros Campos</t>
  </si>
  <si>
    <t>Ilist&lt;Field&gt;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</si>
</sst>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14" fontId="3" fillId="3" borderId="0" xfId="0" applyNumberFormat="1" applyFont="1" applyFill="1"/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3" fillId="7" borderId="0" xfId="0" applyFont="1" applyFill="1" applyAlignment="1">
      <alignment wrapText="1"/>
    </xf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67"/>
  <sheetViews>
    <sheetView tabSelected="1" zoomScaleNormal="100" zoomScalePageLayoutView="115" workbookViewId="0">
      <pane ySplit="1" topLeftCell="A2" activePane="bottomLeft" state="frozen"/>
      <selection pane="bottomLeft" activeCell="G6" sqref="G6"/>
    </sheetView>
  </sheetViews>
  <sheetFormatPr defaultColWidth="118" defaultRowHeight="15.75" x14ac:dyDescent="0.25"/>
  <cols>
    <col min="1" max="1" width="21" style="5" bestFit="1" customWidth="1"/>
    <col min="2" max="2" width="17.875" style="5" bestFit="1" customWidth="1"/>
    <col min="3" max="3" width="11.75" style="5" bestFit="1" customWidth="1"/>
    <col min="4" max="4" width="14.125" style="6" bestFit="1" customWidth="1"/>
    <col min="5" max="5" width="18.75" style="5" bestFit="1" customWidth="1"/>
    <col min="6" max="6" width="26.25" style="5" bestFit="1" customWidth="1"/>
    <col min="7" max="7" width="9" style="5" bestFit="1" customWidth="1"/>
    <col min="8" max="8" width="18.875" style="5" bestFit="1" customWidth="1"/>
    <col min="9" max="9" width="13.375" style="5" bestFit="1" customWidth="1"/>
    <col min="10" max="10" width="11.625" style="5" bestFit="1" customWidth="1"/>
    <col min="11" max="11" width="10.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2" customFormat="1" ht="31.5" x14ac:dyDescent="0.25">
      <c r="A1" s="12" t="s">
        <v>1</v>
      </c>
      <c r="B1" s="13" t="s">
        <v>20</v>
      </c>
      <c r="C1" s="12" t="s">
        <v>0</v>
      </c>
      <c r="D1" s="13" t="s">
        <v>4</v>
      </c>
      <c r="E1" s="12" t="s">
        <v>8</v>
      </c>
      <c r="F1" s="12" t="s">
        <v>21</v>
      </c>
      <c r="G1" s="14" t="s">
        <v>22</v>
      </c>
      <c r="H1" s="14" t="s">
        <v>23</v>
      </c>
      <c r="I1" s="14" t="s">
        <v>24</v>
      </c>
      <c r="J1" s="14" t="s">
        <v>25</v>
      </c>
      <c r="K1" s="12" t="s">
        <v>29</v>
      </c>
    </row>
    <row r="2" spans="1:11" s="3" customFormat="1" x14ac:dyDescent="0.25">
      <c r="A2" s="3" t="s">
        <v>71</v>
      </c>
      <c r="B2" s="3" t="str">
        <f>SplitProp(A2)</f>
        <v>item</v>
      </c>
      <c r="C2" s="3" t="s">
        <v>71</v>
      </c>
      <c r="D2" s="4" t="str">
        <f>A9</f>
        <v>Name</v>
      </c>
      <c r="E2" s="3" t="str">
        <f>A5</f>
        <v>Id</v>
      </c>
      <c r="I2" s="3">
        <v>0</v>
      </c>
      <c r="J2" s="3" t="str">
        <f>A6</f>
        <v>Code</v>
      </c>
      <c r="K2" s="11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27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27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28</v>
      </c>
    </row>
    <row r="7" spans="1:11" x14ac:dyDescent="0.25">
      <c r="A7" s="5" t="s">
        <v>40</v>
      </c>
      <c r="B7" s="5" t="s">
        <v>9</v>
      </c>
      <c r="C7" s="5" t="s">
        <v>7</v>
      </c>
      <c r="D7" s="6">
        <v>0</v>
      </c>
      <c r="E7" s="5" t="str">
        <f t="shared" ref="E7:E12" si="1">SplitProp(A7)</f>
        <v>type_code</v>
      </c>
      <c r="F7" s="5" t="s">
        <v>41</v>
      </c>
    </row>
    <row r="8" spans="1:11" s="3" customFormat="1" x14ac:dyDescent="0.25">
      <c r="A8" s="3" t="s">
        <v>42</v>
      </c>
      <c r="B8" s="3" t="s">
        <v>12</v>
      </c>
      <c r="C8" s="3" t="s">
        <v>11</v>
      </c>
      <c r="D8" s="4">
        <v>255</v>
      </c>
      <c r="E8" s="3" t="str">
        <f t="shared" si="1"/>
        <v>type_name</v>
      </c>
      <c r="F8" s="3" t="s">
        <v>43</v>
      </c>
    </row>
    <row r="9" spans="1:11" x14ac:dyDescent="0.25">
      <c r="A9" s="5" t="s">
        <v>32</v>
      </c>
      <c r="B9" s="5" t="s">
        <v>12</v>
      </c>
      <c r="C9" s="5" t="s">
        <v>7</v>
      </c>
      <c r="D9" s="6">
        <v>255</v>
      </c>
      <c r="E9" s="5" t="str">
        <f t="shared" si="1"/>
        <v>name</v>
      </c>
      <c r="F9" s="5" t="s">
        <v>33</v>
      </c>
    </row>
    <row r="10" spans="1:11" s="3" customFormat="1" x14ac:dyDescent="0.25">
      <c r="A10" s="3" t="s">
        <v>124</v>
      </c>
      <c r="B10" s="3" t="s">
        <v>12</v>
      </c>
      <c r="C10" s="3" t="s">
        <v>100</v>
      </c>
      <c r="D10" s="4">
        <v>255</v>
      </c>
      <c r="E10" s="3" t="str">
        <f t="shared" si="1"/>
        <v>full_name</v>
      </c>
      <c r="F10" s="3" t="s">
        <v>123</v>
      </c>
      <c r="H10" s="3" t="str">
        <f>B10</f>
        <v>string</v>
      </c>
      <c r="I10" s="3" t="str">
        <f>H10</f>
        <v>string</v>
      </c>
      <c r="J10" s="3" t="str">
        <f>F10</f>
        <v>Nome Completo</v>
      </c>
    </row>
    <row r="11" spans="1:11" x14ac:dyDescent="0.25">
      <c r="A11" s="5" t="s">
        <v>122</v>
      </c>
      <c r="B11" s="5" t="s">
        <v>12</v>
      </c>
      <c r="C11" s="5" t="s">
        <v>100</v>
      </c>
      <c r="D11" s="6">
        <v>255</v>
      </c>
      <c r="E11" s="5" t="str">
        <f t="shared" si="1"/>
        <v>short_name</v>
      </c>
      <c r="F11" s="5" t="s">
        <v>121</v>
      </c>
      <c r="H11" s="5" t="str">
        <f>B11</f>
        <v>string</v>
      </c>
      <c r="I11" s="5" t="str">
        <f>H11</f>
        <v>string</v>
      </c>
      <c r="J11" s="5" t="str">
        <f>F11</f>
        <v>Nome Resumido</v>
      </c>
    </row>
    <row r="12" spans="1:11" s="3" customFormat="1" x14ac:dyDescent="0.25">
      <c r="A12" s="3" t="s">
        <v>38</v>
      </c>
      <c r="B12" s="3" t="s">
        <v>12</v>
      </c>
      <c r="C12" s="3" t="s">
        <v>11</v>
      </c>
      <c r="D12" s="4">
        <v>255</v>
      </c>
      <c r="E12" s="3" t="str">
        <f t="shared" si="1"/>
        <v>model</v>
      </c>
      <c r="F12" s="3" t="s">
        <v>39</v>
      </c>
      <c r="H12" s="3" t="str">
        <f>B12</f>
        <v>string</v>
      </c>
      <c r="I12" s="3" t="str">
        <f>H12</f>
        <v>string</v>
      </c>
      <c r="J12" s="3" t="str">
        <f>F12</f>
        <v>Modelo</v>
      </c>
    </row>
    <row r="13" spans="1:11" x14ac:dyDescent="0.25">
      <c r="A13" s="5" t="s">
        <v>26</v>
      </c>
      <c r="B13" s="5" t="s">
        <v>12</v>
      </c>
      <c r="C13" s="5" t="s">
        <v>11</v>
      </c>
      <c r="D13" s="6">
        <v>255</v>
      </c>
      <c r="E13" s="5" t="str">
        <f t="shared" ref="E13:E15" si="2">SplitProp(A13)</f>
        <v>description</v>
      </c>
      <c r="F13" s="5" t="s">
        <v>30</v>
      </c>
    </row>
    <row r="14" spans="1:11" s="3" customFormat="1" x14ac:dyDescent="0.25">
      <c r="A14" s="3" t="s">
        <v>126</v>
      </c>
      <c r="B14" s="3" t="s">
        <v>12</v>
      </c>
      <c r="C14" s="3" t="s">
        <v>100</v>
      </c>
      <c r="D14" s="4">
        <v>255</v>
      </c>
      <c r="E14" s="3" t="str">
        <f>SplitProp(A14)</f>
        <v>size</v>
      </c>
      <c r="F14" s="3" t="s">
        <v>125</v>
      </c>
      <c r="H14" s="3" t="str">
        <f>B14</f>
        <v>string</v>
      </c>
      <c r="I14" s="3" t="str">
        <f>H14</f>
        <v>string</v>
      </c>
      <c r="J14" s="3" t="str">
        <f>F14</f>
        <v>Tamanho</v>
      </c>
    </row>
    <row r="15" spans="1:11" x14ac:dyDescent="0.25">
      <c r="A15" s="5" t="s">
        <v>75</v>
      </c>
      <c r="B15" s="5" t="s">
        <v>12</v>
      </c>
      <c r="C15" s="5" t="s">
        <v>7</v>
      </c>
      <c r="D15" s="6">
        <v>50</v>
      </c>
      <c r="E15" s="5" t="str">
        <f t="shared" si="2"/>
        <v>sku</v>
      </c>
      <c r="F15" s="5" t="s">
        <v>74</v>
      </c>
    </row>
    <row r="16" spans="1:11" s="3" customFormat="1" x14ac:dyDescent="0.25">
      <c r="A16" s="3" t="s">
        <v>35</v>
      </c>
      <c r="B16" s="3" t="s">
        <v>12</v>
      </c>
      <c r="C16" s="3" t="s">
        <v>11</v>
      </c>
      <c r="D16" s="4">
        <v>25</v>
      </c>
      <c r="E16" s="3" t="str">
        <f t="shared" ref="E16:E17" si="3">SplitProp(A16)</f>
        <v>color</v>
      </c>
      <c r="F16" s="3" t="s">
        <v>36</v>
      </c>
    </row>
    <row r="17" spans="1:10" x14ac:dyDescent="0.25">
      <c r="A17" s="5" t="s">
        <v>72</v>
      </c>
      <c r="B17" s="5" t="s">
        <v>69</v>
      </c>
      <c r="C17" s="5" t="s">
        <v>7</v>
      </c>
      <c r="D17" s="6">
        <v>10</v>
      </c>
      <c r="E17" s="5" t="str">
        <f t="shared" si="3"/>
        <v>avg_cost</v>
      </c>
      <c r="F17" s="5" t="s">
        <v>73</v>
      </c>
    </row>
    <row r="18" spans="1:10" s="3" customFormat="1" x14ac:dyDescent="0.25">
      <c r="A18" s="3" t="s">
        <v>142</v>
      </c>
      <c r="B18" s="3" t="s">
        <v>69</v>
      </c>
      <c r="C18" s="3" t="s">
        <v>100</v>
      </c>
      <c r="D18" s="4">
        <v>10</v>
      </c>
      <c r="E18" s="3" t="str">
        <f>SplitProp(A18)</f>
        <v>cost_value</v>
      </c>
      <c r="F18" s="3" t="s">
        <v>143</v>
      </c>
      <c r="H18" s="3" t="str">
        <f>B18</f>
        <v>double</v>
      </c>
      <c r="I18" s="3" t="str">
        <f>H18</f>
        <v>double</v>
      </c>
      <c r="J18" s="3" t="str">
        <f>F18</f>
        <v>Valor de Custo</v>
      </c>
    </row>
    <row r="19" spans="1:10" x14ac:dyDescent="0.25">
      <c r="A19" s="5" t="s">
        <v>144</v>
      </c>
      <c r="B19" s="5" t="s">
        <v>69</v>
      </c>
      <c r="C19" s="5" t="s">
        <v>100</v>
      </c>
      <c r="D19" s="6">
        <v>10</v>
      </c>
      <c r="E19" s="5" t="str">
        <f>SplitProp(A19)</f>
        <v>min_sale_value</v>
      </c>
      <c r="F19" s="5" t="s">
        <v>145</v>
      </c>
      <c r="H19" s="5" t="str">
        <f>B19</f>
        <v>double</v>
      </c>
      <c r="I19" s="5" t="str">
        <f>H19</f>
        <v>double</v>
      </c>
      <c r="J19" s="5" t="str">
        <f>F19</f>
        <v>Valor Mínimo de Venda</v>
      </c>
    </row>
    <row r="20" spans="1:10" s="3" customFormat="1" x14ac:dyDescent="0.25">
      <c r="A20" s="3" t="s">
        <v>146</v>
      </c>
      <c r="B20" s="3" t="s">
        <v>69</v>
      </c>
      <c r="C20" s="3" t="s">
        <v>100</v>
      </c>
      <c r="D20" s="4">
        <v>10</v>
      </c>
      <c r="E20" s="3" t="str">
        <f>SplitProp(A20)</f>
        <v>sale_value</v>
      </c>
      <c r="F20" s="3" t="s">
        <v>147</v>
      </c>
      <c r="H20" s="3" t="str">
        <f>B20</f>
        <v>double</v>
      </c>
      <c r="I20" s="3" t="str">
        <f>H20</f>
        <v>double</v>
      </c>
      <c r="J20" s="3" t="str">
        <f>F20</f>
        <v>Valor de Venda</v>
      </c>
    </row>
    <row r="21" spans="1:10" x14ac:dyDescent="0.25">
      <c r="A21" s="5" t="s">
        <v>76</v>
      </c>
      <c r="B21" s="5" t="s">
        <v>69</v>
      </c>
      <c r="C21" s="5" t="s">
        <v>11</v>
      </c>
      <c r="D21" s="6">
        <v>10</v>
      </c>
      <c r="E21" s="5" t="str">
        <f t="shared" ref="E21:E24" si="4">SplitProp(A21)</f>
        <v>height</v>
      </c>
      <c r="F21" s="5" t="s">
        <v>77</v>
      </c>
    </row>
    <row r="22" spans="1:10" s="3" customFormat="1" x14ac:dyDescent="0.25">
      <c r="A22" s="3" t="s">
        <v>78</v>
      </c>
      <c r="B22" s="3" t="s">
        <v>69</v>
      </c>
      <c r="C22" s="3" t="s">
        <v>11</v>
      </c>
      <c r="D22" s="4">
        <v>10</v>
      </c>
      <c r="E22" s="3" t="str">
        <f t="shared" si="4"/>
        <v>width</v>
      </c>
      <c r="F22" s="3" t="s">
        <v>79</v>
      </c>
    </row>
    <row r="23" spans="1:10" x14ac:dyDescent="0.25">
      <c r="A23" s="5" t="s">
        <v>80</v>
      </c>
      <c r="B23" s="5" t="s">
        <v>69</v>
      </c>
      <c r="C23" s="5" t="s">
        <v>11</v>
      </c>
      <c r="D23" s="6">
        <v>10</v>
      </c>
      <c r="E23" s="5" t="str">
        <f t="shared" si="4"/>
        <v>weight</v>
      </c>
      <c r="F23" s="5" t="s">
        <v>81</v>
      </c>
    </row>
    <row r="24" spans="1:10" s="3" customFormat="1" x14ac:dyDescent="0.25">
      <c r="A24" s="3" t="s">
        <v>82</v>
      </c>
      <c r="B24" s="3" t="s">
        <v>69</v>
      </c>
      <c r="C24" s="3" t="s">
        <v>11</v>
      </c>
      <c r="D24" s="4">
        <v>10</v>
      </c>
      <c r="E24" s="3" t="str">
        <f t="shared" si="4"/>
        <v>length</v>
      </c>
      <c r="F24" s="3" t="s">
        <v>83</v>
      </c>
    </row>
    <row r="25" spans="1:10" x14ac:dyDescent="0.25">
      <c r="A25" s="5" t="s">
        <v>84</v>
      </c>
      <c r="B25" s="5" t="s">
        <v>69</v>
      </c>
      <c r="C25" s="5" t="s">
        <v>11</v>
      </c>
      <c r="D25" s="6">
        <v>10</v>
      </c>
      <c r="E25" s="5" t="str">
        <f t="shared" ref="E25:E29" si="5">SplitProp(A25)</f>
        <v>packaging_weight</v>
      </c>
      <c r="F25" s="5" t="s">
        <v>85</v>
      </c>
    </row>
    <row r="26" spans="1:10" s="3" customFormat="1" x14ac:dyDescent="0.25">
      <c r="A26" s="3" t="s">
        <v>86</v>
      </c>
      <c r="B26" s="3" t="s">
        <v>69</v>
      </c>
      <c r="C26" s="3" t="s">
        <v>11</v>
      </c>
      <c r="D26" s="4">
        <v>10</v>
      </c>
      <c r="E26" s="3" t="str">
        <f t="shared" si="5"/>
        <v>packaging_width</v>
      </c>
      <c r="F26" s="3" t="s">
        <v>87</v>
      </c>
    </row>
    <row r="27" spans="1:10" x14ac:dyDescent="0.25">
      <c r="A27" s="5" t="s">
        <v>88</v>
      </c>
      <c r="B27" s="5" t="s">
        <v>69</v>
      </c>
      <c r="C27" s="5" t="s">
        <v>11</v>
      </c>
      <c r="D27" s="6">
        <v>10</v>
      </c>
      <c r="E27" s="5" t="str">
        <f t="shared" si="5"/>
        <v>packaging_height</v>
      </c>
      <c r="F27" s="5" t="s">
        <v>89</v>
      </c>
    </row>
    <row r="28" spans="1:10" s="3" customFormat="1" x14ac:dyDescent="0.25">
      <c r="A28" s="3" t="s">
        <v>90</v>
      </c>
      <c r="B28" s="3" t="s">
        <v>69</v>
      </c>
      <c r="C28" s="3" t="s">
        <v>11</v>
      </c>
      <c r="D28" s="4">
        <v>10</v>
      </c>
      <c r="E28" s="3" t="str">
        <f t="shared" si="5"/>
        <v>packaging_length</v>
      </c>
      <c r="F28" s="3" t="s">
        <v>91</v>
      </c>
    </row>
    <row r="29" spans="1:10" x14ac:dyDescent="0.25">
      <c r="A29" s="5" t="s">
        <v>92</v>
      </c>
      <c r="B29" s="5" t="s">
        <v>93</v>
      </c>
      <c r="C29" s="5" t="s">
        <v>7</v>
      </c>
      <c r="D29" s="6">
        <v>10</v>
      </c>
      <c r="E29" s="5" t="str">
        <f t="shared" si="5"/>
        <v>images</v>
      </c>
      <c r="F29" s="5" t="s">
        <v>92</v>
      </c>
    </row>
    <row r="30" spans="1:10" s="3" customFormat="1" x14ac:dyDescent="0.25">
      <c r="A30" s="3" t="s">
        <v>96</v>
      </c>
      <c r="B30" s="3" t="s">
        <v>9</v>
      </c>
      <c r="C30" s="3" t="s">
        <v>7</v>
      </c>
      <c r="D30" s="4">
        <v>50</v>
      </c>
      <c r="E30" s="3" t="str">
        <f t="shared" ref="E30:E31" si="6">SplitProp(A30)</f>
        <v>manufacturer_code</v>
      </c>
      <c r="F30" s="3" t="s">
        <v>97</v>
      </c>
    </row>
    <row r="31" spans="1:10" x14ac:dyDescent="0.25">
      <c r="A31" s="5" t="s">
        <v>94</v>
      </c>
      <c r="B31" s="5" t="s">
        <v>12</v>
      </c>
      <c r="C31" s="5" t="s">
        <v>7</v>
      </c>
      <c r="D31" s="6">
        <v>255</v>
      </c>
      <c r="E31" s="5" t="str">
        <f t="shared" si="6"/>
        <v>manufacturer_name</v>
      </c>
      <c r="F31" s="5" t="s">
        <v>95</v>
      </c>
    </row>
    <row r="32" spans="1:10" s="3" customFormat="1" x14ac:dyDescent="0.25">
      <c r="A32" s="3" t="s">
        <v>98</v>
      </c>
      <c r="B32" s="3" t="s">
        <v>102</v>
      </c>
      <c r="C32" s="3" t="s">
        <v>100</v>
      </c>
      <c r="D32" s="4">
        <v>0</v>
      </c>
      <c r="E32" s="3" t="str">
        <f t="shared" ref="E32" si="7">SplitProp(A32)</f>
        <v>bar_codes</v>
      </c>
      <c r="F32" s="3" t="s">
        <v>101</v>
      </c>
    </row>
    <row r="33" spans="1:10" x14ac:dyDescent="0.25">
      <c r="A33" s="5" t="s">
        <v>105</v>
      </c>
      <c r="B33" s="5" t="s">
        <v>9</v>
      </c>
      <c r="C33" s="5" t="s">
        <v>7</v>
      </c>
      <c r="D33" s="6">
        <v>10</v>
      </c>
      <c r="E33" s="5" t="str">
        <f t="shared" ref="E33:E34" si="8">SplitProp(A33)</f>
        <v>brand_code</v>
      </c>
      <c r="F33" s="5" t="s">
        <v>106</v>
      </c>
    </row>
    <row r="34" spans="1:10" s="3" customFormat="1" x14ac:dyDescent="0.25">
      <c r="A34" s="3" t="s">
        <v>103</v>
      </c>
      <c r="B34" s="3" t="s">
        <v>12</v>
      </c>
      <c r="C34" s="3" t="s">
        <v>7</v>
      </c>
      <c r="D34" s="4">
        <v>255</v>
      </c>
      <c r="E34" s="3" t="str">
        <f t="shared" si="8"/>
        <v>brand_name</v>
      </c>
      <c r="F34" s="3" t="s">
        <v>104</v>
      </c>
    </row>
    <row r="35" spans="1:10" x14ac:dyDescent="0.25">
      <c r="A35" s="5" t="s">
        <v>109</v>
      </c>
      <c r="B35" s="5" t="s">
        <v>9</v>
      </c>
      <c r="C35" s="5" t="s">
        <v>7</v>
      </c>
      <c r="D35" s="6">
        <v>10</v>
      </c>
      <c r="E35" s="5" t="str">
        <f t="shared" ref="E35:E36" si="9">SplitProp(A35)</f>
        <v>group_code</v>
      </c>
      <c r="F35" s="5" t="s">
        <v>107</v>
      </c>
    </row>
    <row r="36" spans="1:10" s="3" customFormat="1" x14ac:dyDescent="0.25">
      <c r="A36" s="3" t="s">
        <v>108</v>
      </c>
      <c r="B36" s="3" t="s">
        <v>12</v>
      </c>
      <c r="C36" s="3" t="s">
        <v>7</v>
      </c>
      <c r="D36" s="4">
        <v>255</v>
      </c>
      <c r="E36" s="3" t="str">
        <f t="shared" si="9"/>
        <v>group_name</v>
      </c>
      <c r="F36" s="3" t="s">
        <v>110</v>
      </c>
    </row>
    <row r="37" spans="1:10" x14ac:dyDescent="0.25">
      <c r="A37" s="5" t="s">
        <v>111</v>
      </c>
      <c r="B37" s="5" t="s">
        <v>9</v>
      </c>
      <c r="C37" s="5" t="s">
        <v>7</v>
      </c>
      <c r="D37" s="6">
        <v>10</v>
      </c>
      <c r="E37" s="5" t="str">
        <f t="shared" ref="E37:E38" si="10">SplitProp(A37)</f>
        <v>subgroup_code</v>
      </c>
      <c r="F37" s="5" t="s">
        <v>113</v>
      </c>
    </row>
    <row r="38" spans="1:10" s="3" customFormat="1" x14ac:dyDescent="0.25">
      <c r="A38" s="3" t="s">
        <v>112</v>
      </c>
      <c r="B38" s="3" t="s">
        <v>12</v>
      </c>
      <c r="C38" s="3" t="s">
        <v>7</v>
      </c>
      <c r="D38" s="4">
        <v>255</v>
      </c>
      <c r="E38" s="3" t="str">
        <f t="shared" si="10"/>
        <v>subgroup_name</v>
      </c>
      <c r="F38" s="3" t="s">
        <v>114</v>
      </c>
    </row>
    <row r="39" spans="1:10" x14ac:dyDescent="0.25">
      <c r="A39" s="5" t="s">
        <v>117</v>
      </c>
      <c r="B39" s="5" t="s">
        <v>9</v>
      </c>
      <c r="C39" s="5" t="s">
        <v>7</v>
      </c>
      <c r="D39" s="6">
        <v>50</v>
      </c>
      <c r="E39" s="5" t="str">
        <f t="shared" ref="E39:E40" si="11">SplitProp(A39)</f>
        <v>unit_measurement_code</v>
      </c>
      <c r="F39" s="5" t="s">
        <v>118</v>
      </c>
    </row>
    <row r="40" spans="1:10" s="3" customFormat="1" x14ac:dyDescent="0.25">
      <c r="A40" s="3" t="s">
        <v>115</v>
      </c>
      <c r="B40" s="3" t="s">
        <v>12</v>
      </c>
      <c r="C40" s="3" t="s">
        <v>7</v>
      </c>
      <c r="D40" s="4">
        <v>255</v>
      </c>
      <c r="E40" s="3" t="str">
        <f t="shared" si="11"/>
        <v>unit_measurement_name</v>
      </c>
      <c r="F40" s="3" t="s">
        <v>116</v>
      </c>
    </row>
    <row r="41" spans="1:10" x14ac:dyDescent="0.25">
      <c r="A41" s="5" t="s">
        <v>119</v>
      </c>
      <c r="B41" s="5" t="s">
        <v>9</v>
      </c>
      <c r="C41" s="5" t="s">
        <v>11</v>
      </c>
      <c r="D41" s="6">
        <v>10</v>
      </c>
      <c r="E41" s="5" t="str">
        <f t="shared" ref="E41:E49" si="12">SplitProp(A41)</f>
        <v>expiration_time</v>
      </c>
      <c r="F41" s="5" t="s">
        <v>120</v>
      </c>
    </row>
    <row r="42" spans="1:10" s="3" customFormat="1" x14ac:dyDescent="0.25">
      <c r="A42" s="3" t="s">
        <v>135</v>
      </c>
      <c r="B42" s="3" t="s">
        <v>9</v>
      </c>
      <c r="C42" s="3" t="s">
        <v>7</v>
      </c>
      <c r="D42" s="4">
        <v>10</v>
      </c>
      <c r="E42" s="3" t="str">
        <f t="shared" si="12"/>
        <v>status_code</v>
      </c>
      <c r="F42" s="3" t="s">
        <v>134</v>
      </c>
      <c r="H42" s="3" t="str">
        <f t="shared" ref="H42:H49" si="13">B42</f>
        <v>int</v>
      </c>
      <c r="I42" s="3" t="str">
        <f t="shared" ref="I42:I49" si="14">H42</f>
        <v>int</v>
      </c>
      <c r="J42" s="3" t="str">
        <f t="shared" ref="J42:J49" si="15">F42</f>
        <v>Código do Status</v>
      </c>
    </row>
    <row r="43" spans="1:10" x14ac:dyDescent="0.25">
      <c r="A43" s="5" t="s">
        <v>133</v>
      </c>
      <c r="B43" s="5" t="s">
        <v>12</v>
      </c>
      <c r="C43" s="5" t="s">
        <v>11</v>
      </c>
      <c r="D43" s="6">
        <v>150</v>
      </c>
      <c r="E43" s="5" t="str">
        <f t="shared" si="12"/>
        <v>status_name</v>
      </c>
      <c r="F43" s="5" t="s">
        <v>33</v>
      </c>
      <c r="H43" s="5" t="str">
        <f t="shared" si="13"/>
        <v>string</v>
      </c>
      <c r="I43" s="5" t="str">
        <f t="shared" si="14"/>
        <v>string</v>
      </c>
      <c r="J43" s="5" t="str">
        <f t="shared" si="15"/>
        <v>Nome do Status</v>
      </c>
    </row>
    <row r="44" spans="1:10" s="3" customFormat="1" x14ac:dyDescent="0.25">
      <c r="A44" s="3" t="s">
        <v>132</v>
      </c>
      <c r="B44" s="3" t="s">
        <v>51</v>
      </c>
      <c r="C44" s="3" t="s">
        <v>7</v>
      </c>
      <c r="D44" s="4">
        <v>10</v>
      </c>
      <c r="E44" s="3" t="str">
        <f t="shared" si="12"/>
        <v>status_date</v>
      </c>
      <c r="F44" s="3" t="s">
        <v>131</v>
      </c>
      <c r="H44" s="3" t="str">
        <f t="shared" si="13"/>
        <v>DateTime</v>
      </c>
      <c r="I44" s="3" t="str">
        <f t="shared" si="14"/>
        <v>DateTime</v>
      </c>
      <c r="J44" s="3" t="str">
        <f t="shared" si="15"/>
        <v>Data do Status</v>
      </c>
    </row>
    <row r="45" spans="1:10" x14ac:dyDescent="0.25">
      <c r="A45" s="5" t="s">
        <v>130</v>
      </c>
      <c r="B45" s="5" t="s">
        <v>12</v>
      </c>
      <c r="C45" s="5" t="s">
        <v>11</v>
      </c>
      <c r="D45" s="6">
        <v>25</v>
      </c>
      <c r="E45" s="5" t="str">
        <f t="shared" si="12"/>
        <v>status_color</v>
      </c>
      <c r="F45" s="5" t="s">
        <v>129</v>
      </c>
      <c r="H45" s="5" t="str">
        <f t="shared" si="13"/>
        <v>string</v>
      </c>
      <c r="I45" s="5" t="str">
        <f t="shared" si="14"/>
        <v>string</v>
      </c>
      <c r="J45" s="5" t="str">
        <f t="shared" si="15"/>
        <v>Cor do Status</v>
      </c>
    </row>
    <row r="46" spans="1:10" s="3" customFormat="1" x14ac:dyDescent="0.25">
      <c r="A46" s="3" t="s">
        <v>128</v>
      </c>
      <c r="B46" s="3" t="s">
        <v>12</v>
      </c>
      <c r="C46" s="3" t="s">
        <v>11</v>
      </c>
      <c r="D46" s="4">
        <v>255</v>
      </c>
      <c r="E46" s="3" t="str">
        <f t="shared" si="12"/>
        <v>status_note</v>
      </c>
      <c r="F46" s="3" t="s">
        <v>127</v>
      </c>
      <c r="H46" s="3" t="str">
        <f t="shared" si="13"/>
        <v>string</v>
      </c>
      <c r="I46" s="3" t="str">
        <f t="shared" si="14"/>
        <v>string</v>
      </c>
      <c r="J46" s="3" t="str">
        <f t="shared" si="15"/>
        <v>Observação do Status</v>
      </c>
    </row>
    <row r="47" spans="1:10" x14ac:dyDescent="0.25">
      <c r="A47" s="5" t="s">
        <v>139</v>
      </c>
      <c r="B47" s="5" t="s">
        <v>9</v>
      </c>
      <c r="C47" s="5" t="s">
        <v>100</v>
      </c>
      <c r="D47" s="6">
        <v>10</v>
      </c>
      <c r="E47" s="5" t="str">
        <f t="shared" si="12"/>
        <v>min_stock</v>
      </c>
      <c r="F47" s="5" t="s">
        <v>138</v>
      </c>
      <c r="H47" s="5" t="str">
        <f t="shared" si="13"/>
        <v>int</v>
      </c>
      <c r="I47" s="5" t="str">
        <f t="shared" si="14"/>
        <v>int</v>
      </c>
      <c r="J47" s="5" t="str">
        <f t="shared" si="15"/>
        <v>Estoque Mínimo</v>
      </c>
    </row>
    <row r="48" spans="1:10" s="3" customFormat="1" x14ac:dyDescent="0.25">
      <c r="A48" s="3" t="s">
        <v>137</v>
      </c>
      <c r="B48" s="3" t="s">
        <v>9</v>
      </c>
      <c r="C48" s="3" t="s">
        <v>100</v>
      </c>
      <c r="D48" s="4">
        <v>10</v>
      </c>
      <c r="E48" s="3" t="str">
        <f t="shared" si="12"/>
        <v>max_stock</v>
      </c>
      <c r="F48" s="3" t="s">
        <v>136</v>
      </c>
      <c r="H48" s="3" t="str">
        <f t="shared" si="13"/>
        <v>int</v>
      </c>
      <c r="I48" s="3" t="str">
        <f t="shared" si="14"/>
        <v>int</v>
      </c>
      <c r="J48" s="3" t="str">
        <f t="shared" si="15"/>
        <v>Estoque Máximo</v>
      </c>
    </row>
    <row r="49" spans="1:10" x14ac:dyDescent="0.25">
      <c r="A49" s="5" t="s">
        <v>140</v>
      </c>
      <c r="B49" s="5" t="s">
        <v>9</v>
      </c>
      <c r="C49" s="5" t="s">
        <v>100</v>
      </c>
      <c r="D49" s="6">
        <v>10</v>
      </c>
      <c r="E49" s="5" t="str">
        <f t="shared" si="12"/>
        <v>quantity</v>
      </c>
      <c r="F49" s="5" t="s">
        <v>141</v>
      </c>
      <c r="H49" s="5" t="str">
        <f t="shared" si="13"/>
        <v>int</v>
      </c>
      <c r="I49" s="5" t="str">
        <f t="shared" si="14"/>
        <v>int</v>
      </c>
      <c r="J49" s="5" t="str">
        <f t="shared" si="15"/>
        <v>Quantidade em Estoque</v>
      </c>
    </row>
    <row r="50" spans="1:10" s="3" customFormat="1" x14ac:dyDescent="0.25">
      <c r="A50" s="3" t="s">
        <v>34</v>
      </c>
      <c r="B50" s="3" t="s">
        <v>19</v>
      </c>
      <c r="C50" s="3" t="s">
        <v>7</v>
      </c>
      <c r="D50" s="4">
        <v>0</v>
      </c>
      <c r="E50" s="3" t="str">
        <f t="shared" ref="E50" si="16">SplitProp(A50)</f>
        <v>enabled</v>
      </c>
      <c r="F50" s="3" t="s">
        <v>70</v>
      </c>
    </row>
    <row r="51" spans="1:10" x14ac:dyDescent="0.25">
      <c r="A51" s="5" t="s">
        <v>151</v>
      </c>
      <c r="B51" s="5" t="s">
        <v>69</v>
      </c>
      <c r="C51" s="5" t="s">
        <v>100</v>
      </c>
      <c r="D51" s="6">
        <v>10</v>
      </c>
      <c r="E51" s="5" t="str">
        <f>SplitProp(A51)</f>
        <v>tax_value</v>
      </c>
      <c r="F51" s="5" t="s">
        <v>150</v>
      </c>
      <c r="H51" s="5" t="str">
        <f>B51</f>
        <v>double</v>
      </c>
      <c r="I51" s="5" t="str">
        <f>H51</f>
        <v>double</v>
      </c>
      <c r="J51" s="5" t="str">
        <f>F51</f>
        <v>Valor do Imposto</v>
      </c>
    </row>
    <row r="52" spans="1:10" s="3" customFormat="1" x14ac:dyDescent="0.25">
      <c r="A52" s="3" t="s">
        <v>149</v>
      </c>
      <c r="B52" s="3" t="s">
        <v>99</v>
      </c>
      <c r="C52" s="3" t="s">
        <v>100</v>
      </c>
      <c r="D52" s="4">
        <v>0</v>
      </c>
      <c r="E52" s="3" t="str">
        <f>SplitProp(A52)</f>
        <v>taxes</v>
      </c>
      <c r="F52" s="3" t="s">
        <v>148</v>
      </c>
      <c r="H52" s="3" t="str">
        <f>B52</f>
        <v>Ilist&lt;KeyLabelValue&gt;</v>
      </c>
      <c r="I52" s="3" t="str">
        <f>H52</f>
        <v>Ilist&lt;KeyLabelValue&gt;</v>
      </c>
      <c r="J52" s="3" t="str">
        <f>F52</f>
        <v>Impostos</v>
      </c>
    </row>
    <row r="53" spans="1:10" x14ac:dyDescent="0.25">
      <c r="A53" s="5" t="s">
        <v>152</v>
      </c>
      <c r="B53" s="5" t="s">
        <v>154</v>
      </c>
      <c r="C53" s="5" t="s">
        <v>100</v>
      </c>
      <c r="D53" s="6">
        <v>0</v>
      </c>
      <c r="E53" s="5" t="str">
        <f>SplitProp(A53)</f>
        <v>fields</v>
      </c>
      <c r="F53" s="5" t="s">
        <v>153</v>
      </c>
      <c r="H53" s="5" t="str">
        <f>B53</f>
        <v>Ilist&lt;Field&gt;</v>
      </c>
      <c r="I53" s="5" t="str">
        <f>H53</f>
        <v>Ilist&lt;Field&gt;</v>
      </c>
      <c r="J53" s="5" t="str">
        <f>F53</f>
        <v>Outros Campos</v>
      </c>
    </row>
    <row r="54" spans="1:10" s="3" customFormat="1" x14ac:dyDescent="0.25">
      <c r="A54" s="3" t="s">
        <v>14</v>
      </c>
      <c r="B54" s="3" t="s">
        <v>12</v>
      </c>
      <c r="C54" s="3" t="s">
        <v>11</v>
      </c>
      <c r="D54" s="4">
        <v>8000</v>
      </c>
      <c r="E54" s="3" t="str">
        <f>SplitProp(A54)</f>
        <v>note</v>
      </c>
      <c r="F54" s="3" t="s">
        <v>15</v>
      </c>
    </row>
    <row r="55" spans="1:10" s="9" customFormat="1" x14ac:dyDescent="0.25">
      <c r="A55" s="9" t="s">
        <v>44</v>
      </c>
      <c r="B55" s="9" t="s">
        <v>13</v>
      </c>
      <c r="C55" s="9" t="s">
        <v>7</v>
      </c>
      <c r="D55" s="10">
        <v>50</v>
      </c>
      <c r="E55" s="9" t="str">
        <f t="shared" ref="E55:E57" si="17">SplitProp(A55)</f>
        <v>account_id</v>
      </c>
      <c r="F55" s="9" t="s">
        <v>45</v>
      </c>
    </row>
    <row r="56" spans="1:10" s="7" customFormat="1" x14ac:dyDescent="0.25">
      <c r="A56" s="7" t="s">
        <v>46</v>
      </c>
      <c r="B56" s="7" t="s">
        <v>9</v>
      </c>
      <c r="C56" s="7" t="s">
        <v>7</v>
      </c>
      <c r="D56" s="8">
        <v>10</v>
      </c>
      <c r="E56" s="7" t="str">
        <f t="shared" si="17"/>
        <v>account_code</v>
      </c>
      <c r="F56" s="7" t="s">
        <v>47</v>
      </c>
    </row>
    <row r="57" spans="1:10" s="9" customFormat="1" x14ac:dyDescent="0.25">
      <c r="A57" s="9" t="s">
        <v>48</v>
      </c>
      <c r="B57" s="9" t="s">
        <v>12</v>
      </c>
      <c r="C57" s="9" t="s">
        <v>7</v>
      </c>
      <c r="D57" s="10">
        <v>150</v>
      </c>
      <c r="E57" s="9" t="str">
        <f t="shared" si="17"/>
        <v>account_name</v>
      </c>
      <c r="F57" s="9" t="s">
        <v>49</v>
      </c>
    </row>
    <row r="58" spans="1:10" s="7" customFormat="1" x14ac:dyDescent="0.25">
      <c r="A58" s="7" t="s">
        <v>50</v>
      </c>
      <c r="B58" s="7" t="s">
        <v>51</v>
      </c>
      <c r="C58" s="7" t="s">
        <v>7</v>
      </c>
      <c r="D58" s="8">
        <v>10</v>
      </c>
      <c r="E58" s="7" t="str">
        <f t="shared" ref="E58:E66" si="18">SplitProp(A58)</f>
        <v>creation_date</v>
      </c>
      <c r="F58" s="7" t="s">
        <v>52</v>
      </c>
    </row>
    <row r="59" spans="1:10" s="9" customFormat="1" x14ac:dyDescent="0.25">
      <c r="A59" s="9" t="s">
        <v>53</v>
      </c>
      <c r="B59" s="9" t="s">
        <v>13</v>
      </c>
      <c r="C59" s="9" t="s">
        <v>7</v>
      </c>
      <c r="D59" s="10">
        <v>50</v>
      </c>
      <c r="E59" s="9" t="str">
        <f t="shared" si="18"/>
        <v>creation_user_id</v>
      </c>
      <c r="F59" s="9" t="s">
        <v>54</v>
      </c>
    </row>
    <row r="60" spans="1:10" s="7" customFormat="1" x14ac:dyDescent="0.25">
      <c r="A60" s="7" t="s">
        <v>55</v>
      </c>
      <c r="B60" s="7" t="s">
        <v>12</v>
      </c>
      <c r="C60" s="7" t="s">
        <v>7</v>
      </c>
      <c r="D60" s="8">
        <v>150</v>
      </c>
      <c r="E60" s="7" t="str">
        <f t="shared" si="18"/>
        <v>creation_user_name</v>
      </c>
      <c r="F60" s="7" t="s">
        <v>56</v>
      </c>
    </row>
    <row r="61" spans="1:10" s="9" customFormat="1" x14ac:dyDescent="0.25">
      <c r="A61" s="9" t="s">
        <v>57</v>
      </c>
      <c r="B61" s="9" t="s">
        <v>51</v>
      </c>
      <c r="C61" s="9" t="s">
        <v>11</v>
      </c>
      <c r="D61" s="10">
        <v>10</v>
      </c>
      <c r="E61" s="9" t="str">
        <f t="shared" si="18"/>
        <v>change_date</v>
      </c>
      <c r="F61" s="9" t="s">
        <v>58</v>
      </c>
    </row>
    <row r="62" spans="1:10" s="7" customFormat="1" x14ac:dyDescent="0.25">
      <c r="A62" s="7" t="s">
        <v>59</v>
      </c>
      <c r="B62" s="7" t="s">
        <v>13</v>
      </c>
      <c r="C62" s="7" t="s">
        <v>7</v>
      </c>
      <c r="D62" s="8">
        <v>50</v>
      </c>
      <c r="E62" s="7" t="str">
        <f t="shared" si="18"/>
        <v>change_user_id</v>
      </c>
      <c r="F62" s="7" t="s">
        <v>60</v>
      </c>
    </row>
    <row r="63" spans="1:10" s="9" customFormat="1" x14ac:dyDescent="0.25">
      <c r="A63" s="9" t="s">
        <v>61</v>
      </c>
      <c r="B63" s="9" t="s">
        <v>12</v>
      </c>
      <c r="C63" s="9" t="s">
        <v>11</v>
      </c>
      <c r="D63" s="10">
        <v>150</v>
      </c>
      <c r="E63" s="9" t="str">
        <f t="shared" si="18"/>
        <v>change_user_name</v>
      </c>
      <c r="F63" s="9" t="s">
        <v>62</v>
      </c>
    </row>
    <row r="64" spans="1:10" s="7" customFormat="1" x14ac:dyDescent="0.25">
      <c r="A64" s="7" t="s">
        <v>63</v>
      </c>
      <c r="B64" s="7" t="s">
        <v>51</v>
      </c>
      <c r="C64" s="7" t="s">
        <v>11</v>
      </c>
      <c r="D64" s="8">
        <v>10</v>
      </c>
      <c r="E64" s="7" t="str">
        <f t="shared" si="18"/>
        <v>exclusion_date</v>
      </c>
      <c r="F64" s="7" t="s">
        <v>64</v>
      </c>
    </row>
    <row r="65" spans="1:6" s="9" customFormat="1" x14ac:dyDescent="0.25">
      <c r="A65" s="9" t="s">
        <v>65</v>
      </c>
      <c r="B65" s="9" t="s">
        <v>13</v>
      </c>
      <c r="C65" s="9" t="s">
        <v>7</v>
      </c>
      <c r="D65" s="10">
        <v>50</v>
      </c>
      <c r="E65" s="9" t="str">
        <f t="shared" si="18"/>
        <v>exclusion_user_id</v>
      </c>
      <c r="F65" s="9" t="s">
        <v>66</v>
      </c>
    </row>
    <row r="66" spans="1:6" s="7" customFormat="1" x14ac:dyDescent="0.25">
      <c r="A66" s="7" t="s">
        <v>67</v>
      </c>
      <c r="B66" s="7" t="s">
        <v>12</v>
      </c>
      <c r="C66" s="7" t="s">
        <v>11</v>
      </c>
      <c r="D66" s="8">
        <v>150</v>
      </c>
      <c r="E66" s="7" t="str">
        <f t="shared" si="18"/>
        <v>exclusion_user_name</v>
      </c>
      <c r="F66" s="7" t="s">
        <v>68</v>
      </c>
    </row>
    <row r="67" spans="1:6" s="9" customFormat="1" x14ac:dyDescent="0.25">
      <c r="A67" s="9" t="s">
        <v>31</v>
      </c>
      <c r="B67" s="9" t="s">
        <v>37</v>
      </c>
      <c r="C67" s="9" t="s">
        <v>7</v>
      </c>
      <c r="D67" s="10">
        <v>0</v>
      </c>
      <c r="E67" s="9" t="str">
        <f>SplitProp(A67)</f>
        <v>record_status</v>
      </c>
      <c r="F67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2023-05-10T21:27:01Z</dcterms:modified>
</cp:coreProperties>
</file>