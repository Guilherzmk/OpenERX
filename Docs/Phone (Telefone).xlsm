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BE38AA9F-2199-449C-AB09-80C12D06B5E5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definedNames>
    <definedName name="_xlnm._FilterDatabase" localSheetId="0" hidden="1">COLLECTION!$A$4:$V$9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H6" i="1"/>
  <c r="I6" i="1" s="1"/>
  <c r="J6" i="1"/>
  <c r="H7" i="1"/>
  <c r="I7" i="1" s="1"/>
  <c r="J7" i="1"/>
  <c r="H8" i="1"/>
  <c r="I8" i="1" s="1"/>
  <c r="J8" i="1"/>
  <c r="H9" i="1"/>
  <c r="I9" i="1" s="1"/>
  <c r="J9" i="1"/>
  <c r="H10" i="1"/>
  <c r="I10" i="1" s="1"/>
  <c r="J10" i="1"/>
  <c r="J5" i="1"/>
  <c r="H5" i="1"/>
  <c r="I5" i="1" s="1"/>
  <c r="E8" i="1"/>
  <c r="E10" i="1"/>
  <c r="E9" i="1"/>
  <c r="E7" i="1"/>
  <c r="E5" i="1"/>
  <c r="B2" i="1"/>
  <c r="E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Uilan</author>
  </authors>
  <commentList>
    <comment ref="H4" authorId="0" shapeId="0" xr:uid="{60C37817-0C06-4017-909A-432A6200ACB8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  <comment ref="I4" authorId="0" shapeId="0" xr:uid="{36FBCD41-95B9-4E46-85F5-7ACC1929F52F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  <comment ref="K4" authorId="0" shapeId="0" xr:uid="{CCFE55AA-6E79-46EF-B704-72BEBC8B3BA9}">
      <text>
        <r>
          <rPr>
            <b/>
            <sz val="9"/>
            <color indexed="81"/>
            <rFont val="Segoe UI"/>
            <family val="2"/>
          </rPr>
          <t xml:space="preserve">Uilan:
</t>
        </r>
        <r>
          <rPr>
            <sz val="9"/>
            <color indexed="81"/>
            <rFont val="Segoe UI"/>
            <family val="2"/>
          </rPr>
          <t>Tipo de componente da tela de detalhe
string
int
number
currency
percent
name
country-identity
code
date
datetime
status
status-color
alert
alert-color
address
email
phone</t>
        </r>
      </text>
    </comment>
  </commentList>
</comments>
</file>

<file path=xl/sharedStrings.xml><?xml version="1.0" encoding="utf-8"?>
<sst xmlns="http://schemas.openxmlformats.org/spreadsheetml/2006/main" count="59" uniqueCount="51">
  <si>
    <t>DESCRIPTION</t>
  </si>
  <si>
    <t>ENTITY</t>
  </si>
  <si>
    <t>ENTITY FIELD</t>
  </si>
  <si>
    <t>TYPE</t>
  </si>
  <si>
    <t>string</t>
  </si>
  <si>
    <t>TOSTRING FIELD</t>
  </si>
  <si>
    <t>ALLOW NULL</t>
  </si>
  <si>
    <t>SIZE</t>
  </si>
  <si>
    <t>false</t>
  </si>
  <si>
    <t>true</t>
  </si>
  <si>
    <t>PRIMARY KEY</t>
  </si>
  <si>
    <t>Guid</t>
  </si>
  <si>
    <t>DATA FIELD</t>
  </si>
  <si>
    <t>REPOSITORY</t>
  </si>
  <si>
    <t>SHORT DESCRIPTION</t>
  </si>
  <si>
    <t>PARENT</t>
  </si>
  <si>
    <t>PARENT DESCRIPTION</t>
  </si>
  <si>
    <t>FEATURE CODE</t>
  </si>
  <si>
    <t>DOMAINS</t>
  </si>
  <si>
    <t>LABEL</t>
  </si>
  <si>
    <t>DETAIL</t>
  </si>
  <si>
    <t>FILTER</t>
  </si>
  <si>
    <t>SELECT</t>
  </si>
  <si>
    <t>SELECT_VALUE</t>
  </si>
  <si>
    <t>SELECT_NAME</t>
  </si>
  <si>
    <t>SEARCH_COLUMN_WIDTH</t>
  </si>
  <si>
    <t>SEARCH_COLUMN_FORMAT</t>
  </si>
  <si>
    <t>HTML CREATE</t>
  </si>
  <si>
    <t>HTML UPDATE</t>
  </si>
  <si>
    <t>DEFAULT_SETTING</t>
  </si>
  <si>
    <t>DISABLE_SETTINGS</t>
  </si>
  <si>
    <t>INTEGRATION</t>
  </si>
  <si>
    <t>ENTITY CODE</t>
  </si>
  <si>
    <t>LANGUAGE ENTITY</t>
  </si>
  <si>
    <t>REQUIRED_SETTINGS</t>
  </si>
  <si>
    <t>HTML HIDE</t>
  </si>
  <si>
    <t>int</t>
  </si>
  <si>
    <t>Telefone</t>
  </si>
  <si>
    <t>Phone</t>
  </si>
  <si>
    <t>TypeCode</t>
  </si>
  <si>
    <t>TypeName</t>
  </si>
  <si>
    <t>CountryCode</t>
  </si>
  <si>
    <t>Number</t>
  </si>
  <si>
    <t>Note</t>
  </si>
  <si>
    <t>Id do Telefone</t>
  </si>
  <si>
    <t>Código do Tipo</t>
  </si>
  <si>
    <t>Nome do Tipo</t>
  </si>
  <si>
    <t>Código do País</t>
  </si>
  <si>
    <t>Observação</t>
  </si>
  <si>
    <t>Id</t>
  </si>
  <si>
    <t>Número do Telefone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</si>
</sst>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 wrapText="1"/>
    </xf>
    <xf numFmtId="0" fontId="3" fillId="3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V10"/>
  <sheetViews>
    <sheetView tabSelected="1" zoomScaleNormal="100" zoomScalePageLayoutView="11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2" sqref="A12"/>
    </sheetView>
  </sheetViews>
  <sheetFormatPr defaultColWidth="27.375" defaultRowHeight="15.75" x14ac:dyDescent="0.25"/>
  <cols>
    <col min="1" max="1" width="13.625" style="2" bestFit="1" customWidth="1"/>
    <col min="2" max="2" width="11.25" style="2" bestFit="1" customWidth="1"/>
    <col min="3" max="3" width="13.625" style="2" bestFit="1" customWidth="1"/>
    <col min="4" max="4" width="14.375" style="6" bestFit="1" customWidth="1"/>
    <col min="5" max="5" width="13.125" style="2" bestFit="1" customWidth="1"/>
    <col min="6" max="6" width="18.75" style="2" bestFit="1" customWidth="1"/>
    <col min="7" max="7" width="10.875" style="2" bestFit="1" customWidth="1"/>
    <col min="8" max="8" width="19.125" style="2" bestFit="1" customWidth="1"/>
    <col min="9" max="9" width="14.75" style="2" bestFit="1" customWidth="1"/>
    <col min="10" max="10" width="18.75" style="2" bestFit="1" customWidth="1"/>
    <col min="11" max="11" width="16.375" style="2" bestFit="1" customWidth="1"/>
    <col min="12" max="12" width="8.25" style="2" bestFit="1" customWidth="1"/>
    <col min="13" max="13" width="8.75" style="2" bestFit="1" customWidth="1"/>
    <col min="14" max="14" width="15.25" style="2" bestFit="1" customWidth="1"/>
    <col min="15" max="15" width="14.75" style="2" bestFit="1" customWidth="1"/>
    <col min="16" max="16" width="25" style="2" bestFit="1" customWidth="1"/>
    <col min="17" max="17" width="26.375" style="2" bestFit="1" customWidth="1"/>
    <col min="18" max="18" width="20.25" style="2" bestFit="1" customWidth="1"/>
    <col min="19" max="19" width="20.5" style="2" bestFit="1" customWidth="1"/>
    <col min="20" max="20" width="22.5" style="2" bestFit="1" customWidth="1"/>
    <col min="21" max="21" width="12.125" style="2" bestFit="1" customWidth="1"/>
    <col min="22" max="22" width="14.25" style="2" bestFit="1" customWidth="1"/>
    <col min="23" max="16384" width="27.375" style="2"/>
  </cols>
  <sheetData>
    <row r="1" spans="1:22" s="1" customFormat="1" x14ac:dyDescent="0.25">
      <c r="A1" s="1" t="s">
        <v>1</v>
      </c>
      <c r="B1" s="9" t="s">
        <v>13</v>
      </c>
      <c r="C1" s="1" t="s">
        <v>0</v>
      </c>
      <c r="D1" s="9" t="s">
        <v>5</v>
      </c>
      <c r="E1" s="1" t="s">
        <v>10</v>
      </c>
      <c r="F1" s="1" t="s">
        <v>14</v>
      </c>
      <c r="G1" s="10" t="s">
        <v>15</v>
      </c>
      <c r="H1" s="10" t="s">
        <v>16</v>
      </c>
      <c r="I1" s="10" t="s">
        <v>17</v>
      </c>
      <c r="J1" s="10" t="s">
        <v>32</v>
      </c>
      <c r="K1" s="1" t="s">
        <v>33</v>
      </c>
    </row>
    <row r="2" spans="1:22" s="3" customFormat="1" x14ac:dyDescent="0.25">
      <c r="A2" s="3" t="s">
        <v>38</v>
      </c>
      <c r="B2" s="3" t="str">
        <f>SplitProp(A2)</f>
        <v>phone</v>
      </c>
      <c r="C2" s="3" t="s">
        <v>37</v>
      </c>
      <c r="D2" s="5" t="str">
        <f>A9</f>
        <v>Number</v>
      </c>
      <c r="G2" s="7"/>
      <c r="H2" s="7"/>
      <c r="I2" s="7"/>
      <c r="J2" s="7"/>
    </row>
    <row r="3" spans="1:22" x14ac:dyDescent="0.25">
      <c r="A3" s="8">
        <v>1</v>
      </c>
      <c r="B3" s="8">
        <v>2</v>
      </c>
      <c r="C3" s="8">
        <v>3</v>
      </c>
      <c r="D3" s="8">
        <v>4</v>
      </c>
      <c r="E3" s="8">
        <v>5</v>
      </c>
      <c r="F3" s="8">
        <v>6</v>
      </c>
      <c r="G3" s="8">
        <v>7</v>
      </c>
      <c r="H3" s="8">
        <v>8</v>
      </c>
      <c r="I3" s="8">
        <v>9</v>
      </c>
      <c r="J3" s="8">
        <v>10</v>
      </c>
      <c r="K3" s="8">
        <v>11</v>
      </c>
      <c r="L3" s="8">
        <v>12</v>
      </c>
      <c r="M3" s="8">
        <v>13</v>
      </c>
      <c r="N3" s="8">
        <v>14</v>
      </c>
      <c r="O3" s="8">
        <v>15</v>
      </c>
      <c r="P3" s="8">
        <v>16</v>
      </c>
      <c r="Q3" s="8">
        <v>17</v>
      </c>
      <c r="R3" s="8">
        <v>18</v>
      </c>
      <c r="S3" s="8">
        <v>19</v>
      </c>
      <c r="T3" s="8">
        <v>20</v>
      </c>
      <c r="U3" s="8">
        <v>21</v>
      </c>
      <c r="V3" s="8">
        <v>22</v>
      </c>
    </row>
    <row r="4" spans="1:22" s="1" customFormat="1" x14ac:dyDescent="0.25">
      <c r="A4" s="1" t="s">
        <v>2</v>
      </c>
      <c r="B4" s="9" t="s">
        <v>3</v>
      </c>
      <c r="C4" s="1" t="s">
        <v>6</v>
      </c>
      <c r="D4" s="9" t="s">
        <v>7</v>
      </c>
      <c r="E4" s="1" t="s">
        <v>12</v>
      </c>
      <c r="F4" s="1" t="s">
        <v>0</v>
      </c>
      <c r="G4" s="10" t="s">
        <v>18</v>
      </c>
      <c r="H4" s="10" t="s">
        <v>27</v>
      </c>
      <c r="I4" s="10" t="s">
        <v>28</v>
      </c>
      <c r="J4" s="10" t="s">
        <v>19</v>
      </c>
      <c r="K4" s="1" t="s">
        <v>20</v>
      </c>
      <c r="L4" s="1" t="s">
        <v>21</v>
      </c>
      <c r="M4" s="1" t="s">
        <v>22</v>
      </c>
      <c r="N4" s="1" t="s">
        <v>23</v>
      </c>
      <c r="O4" s="1" t="s">
        <v>24</v>
      </c>
      <c r="P4" s="1" t="s">
        <v>25</v>
      </c>
      <c r="Q4" s="1" t="s">
        <v>26</v>
      </c>
      <c r="R4" s="4" t="s">
        <v>29</v>
      </c>
      <c r="S4" s="4" t="s">
        <v>30</v>
      </c>
      <c r="T4" s="4" t="s">
        <v>34</v>
      </c>
      <c r="U4" s="1" t="s">
        <v>35</v>
      </c>
      <c r="V4" s="1" t="s">
        <v>31</v>
      </c>
    </row>
    <row r="5" spans="1:22" x14ac:dyDescent="0.25">
      <c r="A5" s="2" t="s">
        <v>49</v>
      </c>
      <c r="B5" s="2" t="s">
        <v>11</v>
      </c>
      <c r="C5" s="2" t="s">
        <v>8</v>
      </c>
      <c r="D5" s="11">
        <v>50</v>
      </c>
      <c r="E5" s="2" t="str">
        <f>SplitProp(A5)</f>
        <v>id</v>
      </c>
      <c r="F5" s="2" t="s">
        <v>44</v>
      </c>
      <c r="H5" s="2" t="str">
        <f>B5</f>
        <v>Guid</v>
      </c>
      <c r="I5" s="2" t="str">
        <f>H5</f>
        <v>Guid</v>
      </c>
      <c r="J5" s="2" t="str">
        <f>F5</f>
        <v>Id do Telefone</v>
      </c>
    </row>
    <row r="6" spans="1:22" s="3" customFormat="1" x14ac:dyDescent="0.25">
      <c r="A6" s="3" t="s">
        <v>39</v>
      </c>
      <c r="B6" s="3" t="s">
        <v>36</v>
      </c>
      <c r="C6" s="3" t="s">
        <v>8</v>
      </c>
      <c r="D6" s="12">
        <v>150</v>
      </c>
      <c r="E6" s="3" t="str">
        <f t="shared" ref="E6:E10" si="0">SplitProp(A6)</f>
        <v>type_code</v>
      </c>
      <c r="F6" s="3" t="s">
        <v>45</v>
      </c>
      <c r="H6" s="3" t="str">
        <f t="shared" ref="H6:H10" si="1">B6</f>
        <v>int</v>
      </c>
      <c r="I6" s="3" t="str">
        <f t="shared" ref="I6:I10" si="2">H6</f>
        <v>int</v>
      </c>
      <c r="J6" s="3" t="str">
        <f t="shared" ref="J6:J10" si="3">F6</f>
        <v>Código do Tipo</v>
      </c>
    </row>
    <row r="7" spans="1:22" x14ac:dyDescent="0.25">
      <c r="A7" s="2" t="s">
        <v>40</v>
      </c>
      <c r="B7" s="2" t="s">
        <v>4</v>
      </c>
      <c r="C7" s="2" t="s">
        <v>9</v>
      </c>
      <c r="D7" s="11">
        <v>150</v>
      </c>
      <c r="E7" s="2" t="str">
        <f t="shared" si="0"/>
        <v>type_name</v>
      </c>
      <c r="F7" s="2" t="s">
        <v>46</v>
      </c>
      <c r="H7" s="2" t="str">
        <f t="shared" si="1"/>
        <v>string</v>
      </c>
      <c r="I7" s="2" t="str">
        <f t="shared" si="2"/>
        <v>string</v>
      </c>
      <c r="J7" s="2" t="str">
        <f t="shared" si="3"/>
        <v>Nome do Tipo</v>
      </c>
    </row>
    <row r="8" spans="1:22" s="3" customFormat="1" x14ac:dyDescent="0.25">
      <c r="A8" s="3" t="s">
        <v>41</v>
      </c>
      <c r="B8" s="3" t="s">
        <v>4</v>
      </c>
      <c r="C8" s="3" t="s">
        <v>9</v>
      </c>
      <c r="D8" s="12">
        <v>10</v>
      </c>
      <c r="E8" s="3" t="str">
        <f t="shared" si="0"/>
        <v>country_code</v>
      </c>
      <c r="F8" s="3" t="s">
        <v>47</v>
      </c>
      <c r="H8" s="3" t="str">
        <f t="shared" si="1"/>
        <v>string</v>
      </c>
      <c r="I8" s="3" t="str">
        <f t="shared" si="2"/>
        <v>string</v>
      </c>
      <c r="J8" s="3" t="str">
        <f t="shared" si="3"/>
        <v>Código do País</v>
      </c>
    </row>
    <row r="9" spans="1:22" x14ac:dyDescent="0.25">
      <c r="A9" s="2" t="s">
        <v>42</v>
      </c>
      <c r="B9" s="2" t="s">
        <v>4</v>
      </c>
      <c r="C9" s="2" t="s">
        <v>9</v>
      </c>
      <c r="D9" s="11">
        <v>25</v>
      </c>
      <c r="E9" s="2" t="str">
        <f t="shared" si="0"/>
        <v>number</v>
      </c>
      <c r="F9" s="2" t="s">
        <v>50</v>
      </c>
      <c r="H9" s="2" t="str">
        <f t="shared" si="1"/>
        <v>string</v>
      </c>
      <c r="I9" s="2" t="str">
        <f t="shared" si="2"/>
        <v>string</v>
      </c>
      <c r="J9" s="2" t="str">
        <f t="shared" si="3"/>
        <v>Número do Telefone</v>
      </c>
    </row>
    <row r="10" spans="1:22" s="3" customFormat="1" x14ac:dyDescent="0.25">
      <c r="A10" s="3" t="s">
        <v>43</v>
      </c>
      <c r="B10" s="3" t="s">
        <v>4</v>
      </c>
      <c r="C10" s="3" t="s">
        <v>9</v>
      </c>
      <c r="D10" s="12">
        <v>8000</v>
      </c>
      <c r="E10" s="3" t="str">
        <f t="shared" si="0"/>
        <v>note</v>
      </c>
      <c r="F10" s="3" t="s">
        <v>48</v>
      </c>
      <c r="H10" s="3" t="str">
        <f t="shared" si="1"/>
        <v>string</v>
      </c>
      <c r="I10" s="3" t="str">
        <f t="shared" si="2"/>
        <v>string</v>
      </c>
      <c r="J10" s="3" t="str">
        <f t="shared" si="3"/>
        <v>Observação</v>
      </c>
    </row>
  </sheetData>
  <autoFilter ref="A4:V9" xr:uid="{AED25432-2190-4640-B2F9-DB8AFC6F72AB}"/>
  <pageMargins left="0.75" right="0.75" top="1" bottom="1" header="0.5" footer="0.5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2023-05-17T20:28:13Z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68232bf7-f0e2-466c-8092-85986b557f9e</vt:lpwstr>
  </property>
</Properties>
</file>